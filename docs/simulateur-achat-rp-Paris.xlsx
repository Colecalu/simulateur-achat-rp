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S\finances_perso\"/>
    </mc:Choice>
  </mc:AlternateContent>
  <xr:revisionPtr revIDLastSave="0" documentId="13_ncr:1_{CC4E14AD-31F4-439B-A8C0-80A7B8809193}" xr6:coauthVersionLast="47" xr6:coauthVersionMax="47" xr10:uidLastSave="{00000000-0000-0000-0000-000000000000}"/>
  <bookViews>
    <workbookView xWindow="-120" yWindow="-120" windowWidth="51840" windowHeight="21120" xr2:uid="{814260F0-A712-49FC-B35F-5D8DC2533497}"/>
  </bookViews>
  <sheets>
    <sheet name="Projet" sheetId="1" r:id="rId1"/>
    <sheet name="Amortissement_prêt" sheetId="2" r:id="rId2"/>
    <sheet name="Amortissement_annuel_prêt" sheetId="3" r:id="rId3"/>
    <sheet name="FLux_Achat_RP" sheetId="4" r:id="rId4"/>
    <sheet name="Bilan_Reven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10" i="1" s="1"/>
  <c r="Q4" i="5"/>
  <c r="R4" i="5" s="1"/>
  <c r="H4" i="5"/>
  <c r="I4" i="5" s="1"/>
  <c r="J4" i="5" s="1"/>
  <c r="A5" i="5"/>
  <c r="O5" i="5" s="1"/>
  <c r="P5" i="5" s="1"/>
  <c r="A6" i="5"/>
  <c r="O6" i="5" s="1"/>
  <c r="P6" i="5" s="1"/>
  <c r="A7" i="5"/>
  <c r="O7" i="5" s="1"/>
  <c r="P7" i="5" s="1"/>
  <c r="A8" i="5"/>
  <c r="O8" i="5" s="1"/>
  <c r="P8" i="5" s="1"/>
  <c r="A9" i="5"/>
  <c r="O9" i="5" s="1"/>
  <c r="P9" i="5" s="1"/>
  <c r="A10" i="5"/>
  <c r="O10" i="5" s="1"/>
  <c r="P10" i="5" s="1"/>
  <c r="A11" i="5"/>
  <c r="O11" i="5" s="1"/>
  <c r="P11" i="5" s="1"/>
  <c r="A12" i="5"/>
  <c r="O12" i="5" s="1"/>
  <c r="P12" i="5" s="1"/>
  <c r="A13" i="5"/>
  <c r="O13" i="5" s="1"/>
  <c r="P13" i="5" s="1"/>
  <c r="A14" i="5"/>
  <c r="O14" i="5" s="1"/>
  <c r="P14" i="5" s="1"/>
  <c r="A15" i="5"/>
  <c r="O15" i="5" s="1"/>
  <c r="P15" i="5" s="1"/>
  <c r="A16" i="5"/>
  <c r="O16" i="5" s="1"/>
  <c r="P16" i="5" s="1"/>
  <c r="A17" i="5"/>
  <c r="O17" i="5" s="1"/>
  <c r="P17" i="5" s="1"/>
  <c r="A18" i="5"/>
  <c r="O18" i="5" s="1"/>
  <c r="P18" i="5" s="1"/>
  <c r="A19" i="5"/>
  <c r="O19" i="5" s="1"/>
  <c r="P19" i="5" s="1"/>
  <c r="A20" i="5"/>
  <c r="O20" i="5" s="1"/>
  <c r="P20" i="5" s="1"/>
  <c r="A21" i="5"/>
  <c r="O21" i="5" s="1"/>
  <c r="P21" i="5" s="1"/>
  <c r="A22" i="5"/>
  <c r="O22" i="5" s="1"/>
  <c r="P22" i="5" s="1"/>
  <c r="A23" i="5"/>
  <c r="O23" i="5" s="1"/>
  <c r="P23" i="5" s="1"/>
  <c r="A24" i="5"/>
  <c r="O24" i="5" s="1"/>
  <c r="P24" i="5" s="1"/>
  <c r="A25" i="5"/>
  <c r="O25" i="5" s="1"/>
  <c r="P25" i="5" s="1"/>
  <c r="A26" i="5"/>
  <c r="O26" i="5" s="1"/>
  <c r="P26" i="5" s="1"/>
  <c r="A27" i="5"/>
  <c r="O27" i="5" s="1"/>
  <c r="P27" i="5" s="1"/>
  <c r="A28" i="5"/>
  <c r="O28" i="5" s="1"/>
  <c r="P28" i="5" s="1"/>
  <c r="A4" i="5"/>
  <c r="O4" i="5" s="1"/>
  <c r="P4" i="5" s="1"/>
  <c r="B2" i="4"/>
  <c r="B15" i="4" s="1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E3" i="4"/>
  <c r="D3" i="4"/>
  <c r="C4" i="2"/>
  <c r="C3" i="2"/>
  <c r="C2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C15" i="1" l="1"/>
  <c r="C1" i="2" s="1"/>
  <c r="G24" i="4"/>
  <c r="B12" i="4"/>
  <c r="G5" i="4"/>
  <c r="G12" i="4"/>
  <c r="G27" i="4"/>
  <c r="G19" i="4"/>
  <c r="G11" i="4"/>
  <c r="B14" i="4"/>
  <c r="S4" i="5"/>
  <c r="G4" i="4"/>
  <c r="G10" i="4"/>
  <c r="B13" i="4"/>
  <c r="B25" i="4"/>
  <c r="B9" i="4"/>
  <c r="B8" i="4"/>
  <c r="B27" i="4"/>
  <c r="B24" i="4"/>
  <c r="B23" i="4"/>
  <c r="B7" i="4"/>
  <c r="B6" i="4"/>
  <c r="B22" i="4"/>
  <c r="B21" i="4"/>
  <c r="B5" i="4"/>
  <c r="B10" i="4"/>
  <c r="B20" i="4"/>
  <c r="B4" i="4"/>
  <c r="G26" i="4"/>
  <c r="B19" i="4"/>
  <c r="G18" i="4"/>
  <c r="G13" i="4"/>
  <c r="B18" i="4"/>
  <c r="B11" i="4"/>
  <c r="B26" i="4"/>
  <c r="G20" i="4"/>
  <c r="B17" i="4"/>
  <c r="B3" i="4"/>
  <c r="B16" i="4"/>
  <c r="G8" i="4"/>
  <c r="G17" i="4"/>
  <c r="G15" i="4"/>
  <c r="G3" i="4"/>
  <c r="G21" i="4"/>
  <c r="G16" i="4"/>
  <c r="G7" i="4"/>
  <c r="G22" i="4"/>
  <c r="G9" i="4"/>
  <c r="G14" i="4"/>
  <c r="G25" i="4"/>
  <c r="G6" i="4"/>
  <c r="G23" i="4"/>
  <c r="B8" i="2" l="1"/>
  <c r="C5" i="2"/>
  <c r="C249" i="2" s="1"/>
  <c r="C265" i="2"/>
  <c r="C277" i="2"/>
  <c r="C257" i="2"/>
  <c r="C267" i="2"/>
  <c r="C273" i="2"/>
  <c r="C299" i="2"/>
  <c r="C255" i="2"/>
  <c r="C256" i="2"/>
  <c r="C297" i="2"/>
  <c r="C282" i="2"/>
  <c r="C279" i="2"/>
  <c r="C252" i="2"/>
  <c r="C287" i="2"/>
  <c r="C303" i="2"/>
  <c r="C283" i="2"/>
  <c r="C305" i="2"/>
  <c r="C300" i="2"/>
  <c r="C275" i="2"/>
  <c r="C288" i="2"/>
  <c r="C284" i="2"/>
  <c r="C248" i="2"/>
  <c r="C276" i="2"/>
  <c r="C266" i="2"/>
  <c r="C269" i="2"/>
  <c r="C274" i="2"/>
  <c r="C280" i="2"/>
  <c r="C254" i="2"/>
  <c r="C263" i="2"/>
  <c r="C285" i="2"/>
  <c r="C292" i="2"/>
  <c r="C250" i="2"/>
  <c r="C262" i="2"/>
  <c r="C304" i="2"/>
  <c r="C306" i="2"/>
  <c r="C261" i="2"/>
  <c r="C301" i="2"/>
  <c r="C293" i="2"/>
  <c r="C272" i="2"/>
  <c r="C291" i="2"/>
  <c r="C298" i="2"/>
  <c r="C268" i="2"/>
  <c r="C296" i="2"/>
  <c r="C289" i="2"/>
  <c r="C259" i="2"/>
  <c r="C307" i="2"/>
  <c r="C294" i="2"/>
  <c r="C258" i="2"/>
  <c r="C271" i="2"/>
  <c r="C264" i="2"/>
  <c r="C260" i="2"/>
  <c r="C253" i="2"/>
  <c r="C270" i="2"/>
  <c r="C295" i="2"/>
  <c r="C302" i="2"/>
  <c r="C278" i="2"/>
  <c r="C281" i="2"/>
  <c r="C251" i="2"/>
  <c r="C290" i="2"/>
  <c r="C286" i="2"/>
  <c r="C117" i="2" l="1"/>
  <c r="C87" i="2"/>
  <c r="C49" i="2"/>
  <c r="C188" i="2"/>
  <c r="C43" i="2"/>
  <c r="C72" i="2"/>
  <c r="C71" i="2"/>
  <c r="C70" i="2"/>
  <c r="C69" i="2"/>
  <c r="C148" i="2"/>
  <c r="C131" i="2"/>
  <c r="C89" i="2"/>
  <c r="C50" i="2"/>
  <c r="C33" i="2"/>
  <c r="C207" i="2"/>
  <c r="C206" i="2"/>
  <c r="C205" i="2"/>
  <c r="C172" i="2"/>
  <c r="C27" i="2"/>
  <c r="C201" i="2"/>
  <c r="C86" i="2"/>
  <c r="C115" i="2"/>
  <c r="C73" i="2"/>
  <c r="C34" i="2"/>
  <c r="C17" i="2"/>
  <c r="C191" i="2"/>
  <c r="C190" i="2"/>
  <c r="C189" i="2"/>
  <c r="C140" i="2"/>
  <c r="C11" i="2"/>
  <c r="C220" i="2"/>
  <c r="C37" i="2"/>
  <c r="C157" i="2"/>
  <c r="C108" i="2"/>
  <c r="C169" i="2"/>
  <c r="C66" i="2"/>
  <c r="C174" i="2"/>
  <c r="C24" i="2"/>
  <c r="C23" i="2"/>
  <c r="C22" i="2"/>
  <c r="C21" i="2"/>
  <c r="C100" i="2"/>
  <c r="C83" i="2"/>
  <c r="C25" i="2"/>
  <c r="C241" i="2"/>
  <c r="C176" i="2"/>
  <c r="C159" i="2"/>
  <c r="C142" i="2"/>
  <c r="C141" i="2"/>
  <c r="C92" i="2"/>
  <c r="C9" i="2"/>
  <c r="C88" i="2"/>
  <c r="C224" i="2"/>
  <c r="C202" i="2"/>
  <c r="C153" i="2"/>
  <c r="C185" i="2"/>
  <c r="C186" i="2"/>
  <c r="C84" i="2"/>
  <c r="C67" i="2"/>
  <c r="C242" i="2"/>
  <c r="C225" i="2"/>
  <c r="C160" i="2"/>
  <c r="C127" i="2"/>
  <c r="C126" i="2"/>
  <c r="C109" i="2"/>
  <c r="C60" i="2"/>
  <c r="C175" i="2"/>
  <c r="C247" i="2"/>
  <c r="C246" i="2"/>
  <c r="C245" i="2"/>
  <c r="C122" i="2"/>
  <c r="C68" i="2"/>
  <c r="C51" i="2"/>
  <c r="C226" i="2"/>
  <c r="C209" i="2"/>
  <c r="C128" i="2"/>
  <c r="C111" i="2"/>
  <c r="C110" i="2"/>
  <c r="C93" i="2"/>
  <c r="C44" i="2"/>
  <c r="C118" i="2"/>
  <c r="C105" i="2"/>
  <c r="C41" i="2"/>
  <c r="C232" i="2"/>
  <c r="C231" i="2"/>
  <c r="C230" i="2"/>
  <c r="C229" i="2"/>
  <c r="C58" i="2"/>
  <c r="C52" i="2"/>
  <c r="C35" i="2"/>
  <c r="C210" i="2"/>
  <c r="C193" i="2"/>
  <c r="C112" i="2"/>
  <c r="C95" i="2"/>
  <c r="C78" i="2"/>
  <c r="C77" i="2"/>
  <c r="C28" i="2"/>
  <c r="C196" i="2"/>
  <c r="C223" i="2"/>
  <c r="C56" i="2"/>
  <c r="C116" i="2"/>
  <c r="C216" i="2"/>
  <c r="C215" i="2"/>
  <c r="C214" i="2"/>
  <c r="C213" i="2"/>
  <c r="C42" i="2"/>
  <c r="C36" i="2"/>
  <c r="C19" i="2"/>
  <c r="C194" i="2"/>
  <c r="C177" i="2"/>
  <c r="C96" i="2"/>
  <c r="C79" i="2"/>
  <c r="C62" i="2"/>
  <c r="C45" i="2"/>
  <c r="C12" i="2"/>
  <c r="C119" i="2"/>
  <c r="C222" i="2"/>
  <c r="C55" i="2"/>
  <c r="C18" i="2"/>
  <c r="C200" i="2"/>
  <c r="C199" i="2"/>
  <c r="C198" i="2"/>
  <c r="C197" i="2"/>
  <c r="C10" i="2"/>
  <c r="C20" i="2"/>
  <c r="C234" i="2"/>
  <c r="C178" i="2"/>
  <c r="C161" i="2"/>
  <c r="C80" i="2"/>
  <c r="C63" i="2"/>
  <c r="C46" i="2"/>
  <c r="C29" i="2"/>
  <c r="C170" i="2"/>
  <c r="C208" i="2"/>
  <c r="C164" i="2"/>
  <c r="C53" i="2"/>
  <c r="C39" i="2"/>
  <c r="C184" i="2"/>
  <c r="C183" i="2"/>
  <c r="C182" i="2"/>
  <c r="C181" i="2"/>
  <c r="C8" i="2"/>
  <c r="H8" i="2" s="1"/>
  <c r="C243" i="2"/>
  <c r="C154" i="2"/>
  <c r="C162" i="2"/>
  <c r="C145" i="2"/>
  <c r="C64" i="2"/>
  <c r="C47" i="2"/>
  <c r="C30" i="2"/>
  <c r="C13" i="2"/>
  <c r="C192" i="2"/>
  <c r="C98" i="2"/>
  <c r="C85" i="2"/>
  <c r="C132" i="2"/>
  <c r="C40" i="2"/>
  <c r="C168" i="2"/>
  <c r="C167" i="2"/>
  <c r="C166" i="2"/>
  <c r="C165" i="2"/>
  <c r="C244" i="2"/>
  <c r="C227" i="2"/>
  <c r="C74" i="2"/>
  <c r="C146" i="2"/>
  <c r="C129" i="2"/>
  <c r="C48" i="2"/>
  <c r="C31" i="2"/>
  <c r="C90" i="2"/>
  <c r="C138" i="2"/>
  <c r="C235" i="2"/>
  <c r="C120" i="2"/>
  <c r="C221" i="2"/>
  <c r="C99" i="2"/>
  <c r="C152" i="2"/>
  <c r="C151" i="2"/>
  <c r="C150" i="2"/>
  <c r="C149" i="2"/>
  <c r="C228" i="2"/>
  <c r="C211" i="2"/>
  <c r="C26" i="2"/>
  <c r="C130" i="2"/>
  <c r="C113" i="2"/>
  <c r="C32" i="2"/>
  <c r="C15" i="2"/>
  <c r="C233" i="2"/>
  <c r="C240" i="2"/>
  <c r="C219" i="2"/>
  <c r="C81" i="2"/>
  <c r="C147" i="2"/>
  <c r="C54" i="2"/>
  <c r="C38" i="2"/>
  <c r="C136" i="2"/>
  <c r="C135" i="2"/>
  <c r="C134" i="2"/>
  <c r="C133" i="2"/>
  <c r="C212" i="2"/>
  <c r="C195" i="2"/>
  <c r="C217" i="2"/>
  <c r="C114" i="2"/>
  <c r="C97" i="2"/>
  <c r="C16" i="2"/>
  <c r="C218" i="2"/>
  <c r="C137" i="2"/>
  <c r="C236" i="2"/>
  <c r="C203" i="2"/>
  <c r="C179" i="2"/>
  <c r="C187" i="2"/>
  <c r="C104" i="2"/>
  <c r="C103" i="2"/>
  <c r="C102" i="2"/>
  <c r="C101" i="2"/>
  <c r="C180" i="2"/>
  <c r="C163" i="2"/>
  <c r="C121" i="2"/>
  <c r="C82" i="2"/>
  <c r="C65" i="2"/>
  <c r="C57" i="2"/>
  <c r="C238" i="2"/>
  <c r="C237" i="2"/>
  <c r="C204" i="2"/>
  <c r="C155" i="2"/>
  <c r="C171" i="2"/>
  <c r="C144" i="2"/>
  <c r="C143" i="2"/>
  <c r="C158" i="2"/>
  <c r="C173" i="2"/>
  <c r="C156" i="2"/>
  <c r="C139" i="2"/>
  <c r="C94" i="2"/>
  <c r="C125" i="2"/>
  <c r="C124" i="2"/>
  <c r="C123" i="2"/>
  <c r="C107" i="2"/>
  <c r="C239" i="2"/>
  <c r="C106" i="2"/>
  <c r="C14" i="2"/>
  <c r="C61" i="2"/>
  <c r="C76" i="2"/>
  <c r="C91" i="2"/>
  <c r="C75" i="2"/>
  <c r="C59" i="2"/>
  <c r="G8" i="2"/>
  <c r="D8" i="2"/>
  <c r="E8" i="2" l="1"/>
  <c r="F8" i="2" s="1"/>
  <c r="B9" i="2" s="1"/>
  <c r="G5" i="1"/>
  <c r="G6" i="1"/>
  <c r="D9" i="2" l="1"/>
  <c r="G9" i="2"/>
  <c r="H9" i="2" l="1"/>
  <c r="E9" i="2"/>
  <c r="F9" i="2" l="1"/>
  <c r="B10" i="2" s="1"/>
  <c r="G10" i="2" l="1"/>
  <c r="D10" i="2"/>
  <c r="E10" i="2" l="1"/>
  <c r="H10" i="2"/>
  <c r="F10" i="2" l="1"/>
  <c r="B11" i="2" s="1"/>
  <c r="G11" i="2" l="1"/>
  <c r="D11" i="2"/>
  <c r="E11" i="2" l="1"/>
  <c r="H11" i="2"/>
  <c r="F11" i="2" l="1"/>
  <c r="B12" i="2" s="1"/>
  <c r="G12" i="2" l="1"/>
  <c r="H12" i="2" s="1"/>
  <c r="D12" i="2"/>
  <c r="E12" i="2" s="1"/>
  <c r="F12" i="2" l="1"/>
  <c r="B13" i="2" s="1"/>
  <c r="G13" i="2" l="1"/>
  <c r="H13" i="2" s="1"/>
  <c r="D13" i="2"/>
  <c r="E13" i="2" s="1"/>
  <c r="F13" i="2" s="1"/>
  <c r="B14" i="2" s="1"/>
  <c r="D14" i="2" l="1"/>
  <c r="E14" i="2" s="1"/>
  <c r="F14" i="2" s="1"/>
  <c r="B15" i="2" s="1"/>
  <c r="G14" i="2"/>
  <c r="H14" i="2" s="1"/>
  <c r="G15" i="2" l="1"/>
  <c r="H15" i="2" s="1"/>
  <c r="D15" i="2"/>
  <c r="E15" i="2" s="1"/>
  <c r="F15" i="2" s="1"/>
  <c r="B16" i="2" s="1"/>
  <c r="G16" i="2" l="1"/>
  <c r="H16" i="2" s="1"/>
  <c r="D16" i="2"/>
  <c r="E16" i="2" s="1"/>
  <c r="F16" i="2" s="1"/>
  <c r="B17" i="2" s="1"/>
  <c r="G17" i="2" l="1"/>
  <c r="H17" i="2" s="1"/>
  <c r="D17" i="2"/>
  <c r="E17" i="2" s="1"/>
  <c r="F17" i="2" s="1"/>
  <c r="B18" i="2" s="1"/>
  <c r="D18" i="2" l="1"/>
  <c r="E18" i="2" s="1"/>
  <c r="F18" i="2" s="1"/>
  <c r="B19" i="2" s="1"/>
  <c r="D19" i="2" s="1"/>
  <c r="G18" i="2"/>
  <c r="H18" i="2" s="1"/>
  <c r="G19" i="2" l="1"/>
  <c r="H19" i="2" s="1"/>
  <c r="E19" i="2"/>
  <c r="F19" i="2" s="1"/>
  <c r="B9" i="3" l="1" a="1"/>
  <c r="B9" i="3" s="1"/>
  <c r="C3" i="4" s="1" a="1"/>
  <c r="C3" i="4" s="1"/>
  <c r="I3" i="4" s="1"/>
  <c r="B4" i="5" s="1"/>
  <c r="B20" i="2"/>
  <c r="C4" i="5" l="1"/>
  <c r="G20" i="2"/>
  <c r="D20" i="2"/>
  <c r="H20" i="2" l="1"/>
  <c r="E20" i="2"/>
  <c r="F20" i="2" l="1"/>
  <c r="B21" i="2" s="1"/>
  <c r="D21" i="2" s="1"/>
  <c r="G21" i="2" l="1"/>
  <c r="H21" i="2" s="1"/>
  <c r="E21" i="2"/>
  <c r="F21" i="2" l="1"/>
  <c r="B22" i="2" s="1"/>
  <c r="G22" i="2" s="1"/>
  <c r="D22" i="2" l="1"/>
  <c r="E22" i="2" s="1"/>
  <c r="H22" i="2"/>
  <c r="F22" i="2" l="1"/>
  <c r="B23" i="2" s="1"/>
  <c r="G23" i="2" s="1"/>
  <c r="D23" i="2" l="1"/>
  <c r="E23" i="2" s="1"/>
  <c r="H23" i="2"/>
  <c r="F23" i="2" l="1"/>
  <c r="B24" i="2" s="1"/>
  <c r="G24" i="2" s="1"/>
  <c r="D24" i="2" l="1"/>
  <c r="E24" i="2" s="1"/>
  <c r="H24" i="2"/>
  <c r="F24" i="2" l="1"/>
  <c r="B25" i="2" s="1"/>
  <c r="G25" i="2" s="1"/>
  <c r="H25" i="2" s="1"/>
  <c r="D25" i="2" l="1"/>
  <c r="E25" i="2" s="1"/>
  <c r="F25" i="2" s="1"/>
  <c r="B26" i="2" s="1"/>
  <c r="G26" i="2" l="1"/>
  <c r="H26" i="2" s="1"/>
  <c r="D26" i="2"/>
  <c r="E26" i="2" l="1"/>
  <c r="F26" i="2" s="1"/>
  <c r="B27" i="2" s="1"/>
  <c r="G27" i="2" l="1"/>
  <c r="H27" i="2" s="1"/>
  <c r="D27" i="2"/>
  <c r="E27" i="2" l="1"/>
  <c r="F27" i="2" s="1"/>
  <c r="B28" i="2" s="1"/>
  <c r="D28" i="2" l="1"/>
  <c r="G28" i="2"/>
  <c r="H28" i="2" s="1"/>
  <c r="E28" i="2" l="1"/>
  <c r="F28" i="2" s="1"/>
  <c r="B29" i="2" s="1"/>
  <c r="D29" i="2" l="1"/>
  <c r="G29" i="2"/>
  <c r="H29" i="2" s="1"/>
  <c r="E29" i="2" l="1"/>
  <c r="F29" i="2" s="1"/>
  <c r="B30" i="2" s="1"/>
  <c r="G30" i="2" l="1"/>
  <c r="H30" i="2" s="1"/>
  <c r="D30" i="2"/>
  <c r="E30" i="2" l="1"/>
  <c r="F30" i="2" s="1"/>
  <c r="B31" i="2" s="1"/>
  <c r="G31" i="2" l="1"/>
  <c r="H31" i="2" s="1"/>
  <c r="D31" i="2"/>
  <c r="E31" i="2" l="1"/>
  <c r="F31" i="2" s="1"/>
  <c r="B10" i="3" s="1" a="1"/>
  <c r="B10" i="3" s="1"/>
  <c r="C4" i="4" s="1" a="1"/>
  <c r="C4" i="4" s="1"/>
  <c r="I4" i="4" s="1"/>
  <c r="B5" i="5" s="1"/>
  <c r="C5" i="5" l="1"/>
  <c r="B32" i="2"/>
  <c r="G32" i="2" l="1"/>
  <c r="D32" i="2"/>
  <c r="H32" i="2" l="1"/>
  <c r="E32" i="2"/>
  <c r="F32" i="2" l="1"/>
  <c r="B33" i="2" s="1"/>
  <c r="G33" i="2" s="1"/>
  <c r="D33" i="2" l="1"/>
  <c r="E33" i="2" s="1"/>
  <c r="H33" i="2"/>
  <c r="F33" i="2" l="1"/>
  <c r="B34" i="2" s="1"/>
  <c r="G34" i="2" s="1"/>
  <c r="D34" i="2" l="1"/>
  <c r="E34" i="2" s="1"/>
  <c r="H34" i="2"/>
  <c r="F34" i="2" l="1"/>
  <c r="B35" i="2" s="1"/>
  <c r="G35" i="2" s="1"/>
  <c r="D35" i="2" l="1"/>
  <c r="E35" i="2" s="1"/>
  <c r="H35" i="2"/>
  <c r="F35" i="2" l="1"/>
  <c r="B36" i="2" s="1"/>
  <c r="G36" i="2" s="1"/>
  <c r="D36" i="2" l="1"/>
  <c r="E36" i="2" s="1"/>
  <c r="H36" i="2"/>
  <c r="F36" i="2" l="1"/>
  <c r="B37" i="2" s="1"/>
  <c r="G37" i="2" s="1"/>
  <c r="H37" i="2" s="1"/>
  <c r="D37" i="2" l="1"/>
  <c r="E37" i="2" s="1"/>
  <c r="F37" i="2" s="1"/>
  <c r="B38" i="2" s="1"/>
  <c r="G38" i="2" l="1"/>
  <c r="H38" i="2" s="1"/>
  <c r="D38" i="2"/>
  <c r="E38" i="2" l="1"/>
  <c r="F38" i="2" s="1"/>
  <c r="B39" i="2" s="1"/>
  <c r="D39" i="2" l="1"/>
  <c r="G39" i="2"/>
  <c r="H39" i="2" s="1"/>
  <c r="E39" i="2" l="1"/>
  <c r="F39" i="2" s="1"/>
  <c r="B40" i="2" s="1"/>
  <c r="G40" i="2" l="1"/>
  <c r="H40" i="2" s="1"/>
  <c r="D40" i="2"/>
  <c r="E40" i="2" l="1"/>
  <c r="F40" i="2" s="1"/>
  <c r="B41" i="2" s="1"/>
  <c r="G41" i="2" l="1"/>
  <c r="H41" i="2" s="1"/>
  <c r="D41" i="2"/>
  <c r="E41" i="2" l="1"/>
  <c r="F41" i="2" s="1"/>
  <c r="B42" i="2" s="1"/>
  <c r="G42" i="2" l="1"/>
  <c r="H42" i="2" s="1"/>
  <c r="D42" i="2"/>
  <c r="E42" i="2" l="1"/>
  <c r="F42" i="2" s="1"/>
  <c r="B43" i="2" s="1"/>
  <c r="G43" i="2" l="1"/>
  <c r="H43" i="2" s="1"/>
  <c r="D43" i="2"/>
  <c r="E43" i="2" l="1"/>
  <c r="F43" i="2" s="1"/>
  <c r="B11" i="3" s="1" a="1"/>
  <c r="B11" i="3" s="1"/>
  <c r="C5" i="4" s="1" a="1"/>
  <c r="C5" i="4" s="1"/>
  <c r="I5" i="4" s="1"/>
  <c r="B6" i="5" s="1"/>
  <c r="C6" i="5" l="1"/>
  <c r="B44" i="2"/>
  <c r="G44" i="2" l="1"/>
  <c r="D44" i="2"/>
  <c r="H44" i="2" l="1"/>
  <c r="E44" i="2"/>
  <c r="F44" i="2" l="1"/>
  <c r="B45" i="2" s="1"/>
  <c r="G45" i="2" s="1"/>
  <c r="D45" i="2" l="1"/>
  <c r="E45" i="2" s="1"/>
  <c r="H45" i="2"/>
  <c r="F45" i="2" l="1"/>
  <c r="B46" i="2" s="1"/>
  <c r="G46" i="2" s="1"/>
  <c r="H46" i="2" l="1"/>
  <c r="D46" i="2"/>
  <c r="E46" i="2" s="1"/>
  <c r="F46" i="2" l="1"/>
  <c r="B47" i="2" s="1"/>
  <c r="G47" i="2" s="1"/>
  <c r="D47" i="2" l="1"/>
  <c r="E47" i="2" s="1"/>
  <c r="H47" i="2"/>
  <c r="F47" i="2" l="1"/>
  <c r="B48" i="2" s="1"/>
  <c r="G48" i="2" s="1"/>
  <c r="D48" i="2" l="1"/>
  <c r="E48" i="2" s="1"/>
  <c r="H48" i="2"/>
  <c r="F48" i="2" l="1"/>
  <c r="B49" i="2" s="1"/>
  <c r="G49" i="2" s="1"/>
  <c r="H49" i="2" s="1"/>
  <c r="D49" i="2" l="1"/>
  <c r="E49" i="2" s="1"/>
  <c r="F49" i="2" s="1"/>
  <c r="B50" i="2" s="1"/>
  <c r="G50" i="2" l="1"/>
  <c r="H50" i="2" s="1"/>
  <c r="D50" i="2"/>
  <c r="E50" i="2" l="1"/>
  <c r="F50" i="2" s="1"/>
  <c r="B51" i="2" s="1"/>
  <c r="G51" i="2" l="1"/>
  <c r="H51" i="2" s="1"/>
  <c r="D51" i="2"/>
  <c r="E51" i="2" l="1"/>
  <c r="F51" i="2" s="1"/>
  <c r="B52" i="2" s="1"/>
  <c r="D52" i="2" l="1"/>
  <c r="G52" i="2"/>
  <c r="H52" i="2" s="1"/>
  <c r="E52" i="2" l="1"/>
  <c r="F52" i="2" s="1"/>
  <c r="B53" i="2" s="1"/>
  <c r="G53" i="2" l="1"/>
  <c r="H53" i="2" s="1"/>
  <c r="D53" i="2"/>
  <c r="E53" i="2" l="1"/>
  <c r="F53" i="2" s="1"/>
  <c r="B54" i="2" s="1"/>
  <c r="D54" i="2" l="1"/>
  <c r="E54" i="2" s="1"/>
  <c r="F54" i="2" s="1"/>
  <c r="B55" i="2" s="1"/>
  <c r="G54" i="2"/>
  <c r="H54" i="2" s="1"/>
  <c r="G55" i="2" l="1"/>
  <c r="H55" i="2" s="1"/>
  <c r="D55" i="2"/>
  <c r="E55" i="2" l="1"/>
  <c r="F55" i="2" s="1"/>
  <c r="B12" i="3" s="1" a="1"/>
  <c r="B12" i="3" s="1"/>
  <c r="C6" i="4" s="1" a="1"/>
  <c r="C6" i="4" s="1"/>
  <c r="I6" i="4" s="1"/>
  <c r="B7" i="5" s="1"/>
  <c r="C7" i="5" l="1"/>
  <c r="B56" i="2"/>
  <c r="G56" i="2" l="1"/>
  <c r="D56" i="2"/>
  <c r="H56" i="2" l="1"/>
  <c r="E56" i="2"/>
  <c r="F56" i="2" l="1"/>
  <c r="B57" i="2" s="1"/>
  <c r="G57" i="2" s="1"/>
  <c r="D57" i="2" l="1"/>
  <c r="E57" i="2" s="1"/>
  <c r="H57" i="2"/>
  <c r="F57" i="2" l="1"/>
  <c r="B58" i="2" s="1"/>
  <c r="G58" i="2" s="1"/>
  <c r="D58" i="2" l="1"/>
  <c r="E58" i="2" s="1"/>
  <c r="H58" i="2"/>
  <c r="F58" i="2" l="1"/>
  <c r="B59" i="2" s="1"/>
  <c r="G59" i="2" s="1"/>
  <c r="D59" i="2" l="1"/>
  <c r="E59" i="2" s="1"/>
  <c r="H59" i="2"/>
  <c r="F59" i="2" l="1"/>
  <c r="B60" i="2" s="1"/>
  <c r="G60" i="2" s="1"/>
  <c r="D60" i="2" l="1"/>
  <c r="E60" i="2" s="1"/>
  <c r="H60" i="2"/>
  <c r="F60" i="2" l="1"/>
  <c r="B61" i="2" s="1"/>
  <c r="G61" i="2" s="1"/>
  <c r="H61" i="2" s="1"/>
  <c r="D61" i="2" l="1"/>
  <c r="E61" i="2" s="1"/>
  <c r="F61" i="2" s="1"/>
  <c r="B62" i="2" s="1"/>
  <c r="G62" i="2" l="1"/>
  <c r="H62" i="2" s="1"/>
  <c r="D62" i="2"/>
  <c r="E62" i="2" l="1"/>
  <c r="F62" i="2" s="1"/>
  <c r="B63" i="2" s="1"/>
  <c r="D63" i="2" l="1"/>
  <c r="G63" i="2"/>
  <c r="H63" i="2" s="1"/>
  <c r="E63" i="2" l="1"/>
  <c r="F63" i="2" s="1"/>
  <c r="B64" i="2" s="1"/>
  <c r="G64" i="2" l="1"/>
  <c r="H64" i="2" s="1"/>
  <c r="D64" i="2"/>
  <c r="E64" i="2" l="1"/>
  <c r="F64" i="2" s="1"/>
  <c r="B65" i="2" s="1"/>
  <c r="G65" i="2" l="1"/>
  <c r="H65" i="2" s="1"/>
  <c r="D65" i="2"/>
  <c r="E65" i="2" l="1"/>
  <c r="F65" i="2" s="1"/>
  <c r="B66" i="2" s="1"/>
  <c r="D66" i="2" l="1"/>
  <c r="G66" i="2"/>
  <c r="H66" i="2" s="1"/>
  <c r="E66" i="2" l="1"/>
  <c r="F66" i="2" s="1"/>
  <c r="B67" i="2" s="1"/>
  <c r="D67" i="2" l="1"/>
  <c r="G67" i="2"/>
  <c r="H67" i="2" s="1"/>
  <c r="E67" i="2" l="1"/>
  <c r="F67" i="2" s="1"/>
  <c r="B13" i="3" s="1" a="1"/>
  <c r="B13" i="3" s="1"/>
  <c r="C7" i="4" s="1" a="1"/>
  <c r="C7" i="4" s="1"/>
  <c r="I7" i="4" s="1"/>
  <c r="B8" i="5" s="1"/>
  <c r="C8" i="5" l="1"/>
  <c r="B68" i="2"/>
  <c r="G68" i="2" l="1"/>
  <c r="D68" i="2"/>
  <c r="H68" i="2" l="1"/>
  <c r="E68" i="2"/>
  <c r="F68" i="2" l="1"/>
  <c r="B69" i="2" s="1"/>
  <c r="G69" i="2" s="1"/>
  <c r="D69" i="2" l="1"/>
  <c r="E69" i="2" s="1"/>
  <c r="H69" i="2"/>
  <c r="F69" i="2" l="1"/>
  <c r="B70" i="2" s="1"/>
  <c r="D70" i="2" s="1"/>
  <c r="G70" i="2" l="1"/>
  <c r="H70" i="2" s="1"/>
  <c r="E70" i="2"/>
  <c r="F70" i="2" l="1"/>
  <c r="B71" i="2" s="1"/>
  <c r="G71" i="2" s="1"/>
  <c r="D71" i="2" l="1"/>
  <c r="E71" i="2" s="1"/>
  <c r="H71" i="2"/>
  <c r="F71" i="2" l="1"/>
  <c r="B72" i="2" s="1"/>
  <c r="G72" i="2" s="1"/>
  <c r="D72" i="2" l="1"/>
  <c r="E72" i="2" s="1"/>
  <c r="H72" i="2"/>
  <c r="F72" i="2" l="1"/>
  <c r="B73" i="2" s="1"/>
  <c r="G73" i="2" s="1"/>
  <c r="H73" i="2" s="1"/>
  <c r="D73" i="2" l="1"/>
  <c r="E73" i="2" s="1"/>
  <c r="F73" i="2" s="1"/>
  <c r="B74" i="2" s="1"/>
  <c r="G74" i="2" l="1"/>
  <c r="H74" i="2" s="1"/>
  <c r="D74" i="2"/>
  <c r="E74" i="2" l="1"/>
  <c r="F74" i="2" s="1"/>
  <c r="B75" i="2" s="1"/>
  <c r="G75" i="2" l="1"/>
  <c r="H75" i="2" s="1"/>
  <c r="D75" i="2"/>
  <c r="E75" i="2" l="1"/>
  <c r="F75" i="2" s="1"/>
  <c r="B76" i="2" s="1"/>
  <c r="G76" i="2" l="1"/>
  <c r="H76" i="2" s="1"/>
  <c r="D76" i="2"/>
  <c r="E76" i="2" l="1"/>
  <c r="F76" i="2" s="1"/>
  <c r="B77" i="2" s="1"/>
  <c r="G77" i="2" l="1"/>
  <c r="H77" i="2" s="1"/>
  <c r="D77" i="2"/>
  <c r="E77" i="2" l="1"/>
  <c r="F77" i="2" s="1"/>
  <c r="B78" i="2" s="1"/>
  <c r="D78" i="2" l="1"/>
  <c r="G78" i="2"/>
  <c r="H78" i="2" s="1"/>
  <c r="E78" i="2" l="1"/>
  <c r="F78" i="2" s="1"/>
  <c r="B79" i="2" s="1"/>
  <c r="G79" i="2" l="1"/>
  <c r="H79" i="2" s="1"/>
  <c r="D79" i="2"/>
  <c r="E79" i="2" l="1"/>
  <c r="F79" i="2" s="1"/>
  <c r="B14" i="3" s="1" a="1"/>
  <c r="B14" i="3" s="1"/>
  <c r="C8" i="4" s="1" a="1"/>
  <c r="C8" i="4" s="1"/>
  <c r="I8" i="4" s="1"/>
  <c r="B9" i="5" s="1"/>
  <c r="C9" i="5" l="1"/>
  <c r="B80" i="2"/>
  <c r="G80" i="2" l="1"/>
  <c r="D80" i="2"/>
  <c r="H80" i="2" l="1"/>
  <c r="E80" i="2"/>
  <c r="F80" i="2" l="1"/>
  <c r="B81" i="2" s="1"/>
  <c r="D81" i="2" s="1"/>
  <c r="G81" i="2" l="1"/>
  <c r="H81" i="2" s="1"/>
  <c r="E81" i="2"/>
  <c r="F81" i="2" l="1"/>
  <c r="B82" i="2" s="1"/>
  <c r="G82" i="2" s="1"/>
  <c r="H82" i="2" l="1"/>
  <c r="D82" i="2"/>
  <c r="E82" i="2" s="1"/>
  <c r="F82" i="2" l="1"/>
  <c r="B83" i="2" s="1"/>
  <c r="D83" i="2" s="1"/>
  <c r="G83" i="2" l="1"/>
  <c r="H83" i="2" s="1"/>
  <c r="E83" i="2"/>
  <c r="F83" i="2" l="1"/>
  <c r="B84" i="2" s="1"/>
  <c r="G84" i="2" s="1"/>
  <c r="D84" i="2" l="1"/>
  <c r="E84" i="2" s="1"/>
  <c r="H84" i="2"/>
  <c r="F84" i="2" l="1"/>
  <c r="B85" i="2" s="1"/>
  <c r="G85" i="2" s="1"/>
  <c r="H85" i="2" s="1"/>
  <c r="D85" i="2" l="1"/>
  <c r="E85" i="2" s="1"/>
  <c r="F85" i="2" s="1"/>
  <c r="B86" i="2" s="1"/>
  <c r="G86" i="2" l="1"/>
  <c r="H86" i="2" s="1"/>
  <c r="D86" i="2"/>
  <c r="E86" i="2" s="1"/>
  <c r="F86" i="2" s="1"/>
  <c r="B87" i="2" s="1"/>
  <c r="G87" i="2" l="1"/>
  <c r="H87" i="2" s="1"/>
  <c r="D87" i="2"/>
  <c r="E87" i="2" l="1"/>
  <c r="F87" i="2" s="1"/>
  <c r="B88" i="2" s="1"/>
  <c r="G88" i="2" l="1"/>
  <c r="H88" i="2" s="1"/>
  <c r="D88" i="2"/>
  <c r="E88" i="2" l="1"/>
  <c r="F88" i="2" s="1"/>
  <c r="B89" i="2" s="1"/>
  <c r="G89" i="2" l="1"/>
  <c r="H89" i="2" s="1"/>
  <c r="D89" i="2"/>
  <c r="E89" i="2" l="1"/>
  <c r="F89" i="2" s="1"/>
  <c r="B90" i="2" s="1"/>
  <c r="G90" i="2" l="1"/>
  <c r="H90" i="2" s="1"/>
  <c r="D90" i="2"/>
  <c r="E90" i="2" l="1"/>
  <c r="F90" i="2" s="1"/>
  <c r="B91" i="2" s="1"/>
  <c r="G91" i="2" l="1"/>
  <c r="H91" i="2" s="1"/>
  <c r="D91" i="2"/>
  <c r="E91" i="2" l="1"/>
  <c r="F91" i="2" s="1"/>
  <c r="B15" i="3" s="1" a="1"/>
  <c r="B15" i="3" s="1"/>
  <c r="C9" i="4" s="1" a="1"/>
  <c r="C9" i="4" s="1"/>
  <c r="I9" i="4" s="1"/>
  <c r="B10" i="5" s="1"/>
  <c r="C10" i="5" l="1"/>
  <c r="B92" i="2"/>
  <c r="G92" i="2" l="1"/>
  <c r="D92" i="2"/>
  <c r="H92" i="2" l="1"/>
  <c r="E92" i="2"/>
  <c r="F92" i="2" l="1"/>
  <c r="B93" i="2" s="1"/>
  <c r="G93" i="2" s="1"/>
  <c r="D93" i="2" l="1"/>
  <c r="E93" i="2" s="1"/>
  <c r="H93" i="2"/>
  <c r="F93" i="2" l="1"/>
  <c r="B94" i="2" s="1"/>
  <c r="G94" i="2" s="1"/>
  <c r="D94" i="2" l="1"/>
  <c r="E94" i="2" s="1"/>
  <c r="H94" i="2"/>
  <c r="F94" i="2" l="1"/>
  <c r="B95" i="2" s="1"/>
  <c r="G95" i="2" s="1"/>
  <c r="D95" i="2" l="1"/>
  <c r="E95" i="2" s="1"/>
  <c r="H95" i="2"/>
  <c r="F95" i="2" l="1"/>
  <c r="B96" i="2" s="1"/>
  <c r="G96" i="2" s="1"/>
  <c r="D96" i="2" l="1"/>
  <c r="E96" i="2" s="1"/>
  <c r="H96" i="2"/>
  <c r="F96" i="2" l="1"/>
  <c r="B97" i="2" s="1"/>
  <c r="G97" i="2" s="1"/>
  <c r="H97" i="2" s="1"/>
  <c r="D97" i="2" l="1"/>
  <c r="E97" i="2" s="1"/>
  <c r="F97" i="2" s="1"/>
  <c r="B98" i="2" s="1"/>
  <c r="G98" i="2" l="1"/>
  <c r="H98" i="2" s="1"/>
  <c r="D98" i="2"/>
  <c r="E98" i="2" l="1"/>
  <c r="F98" i="2" s="1"/>
  <c r="B99" i="2" s="1"/>
  <c r="G99" i="2" l="1"/>
  <c r="H99" i="2" s="1"/>
  <c r="D99" i="2"/>
  <c r="E99" i="2" l="1"/>
  <c r="F99" i="2" s="1"/>
  <c r="B100" i="2" s="1"/>
  <c r="G100" i="2" l="1"/>
  <c r="H100" i="2" s="1"/>
  <c r="D100" i="2"/>
  <c r="E100" i="2" l="1"/>
  <c r="F100" i="2" s="1"/>
  <c r="B101" i="2" s="1"/>
  <c r="D101" i="2" l="1"/>
  <c r="G101" i="2"/>
  <c r="H101" i="2" s="1"/>
  <c r="E101" i="2" l="1"/>
  <c r="F101" i="2" s="1"/>
  <c r="B102" i="2" s="1"/>
  <c r="G102" i="2" l="1"/>
  <c r="H102" i="2" s="1"/>
  <c r="D102" i="2"/>
  <c r="E102" i="2" l="1"/>
  <c r="F102" i="2" s="1"/>
  <c r="B103" i="2" s="1"/>
  <c r="G103" i="2" l="1"/>
  <c r="H103" i="2" s="1"/>
  <c r="D103" i="2"/>
  <c r="E103" i="2" l="1"/>
  <c r="F103" i="2" s="1"/>
  <c r="B16" i="3" s="1" a="1"/>
  <c r="B16" i="3" s="1"/>
  <c r="C10" i="4" s="1" a="1"/>
  <c r="C10" i="4" s="1"/>
  <c r="I10" i="4" s="1"/>
  <c r="B11" i="5" s="1"/>
  <c r="C11" i="5" l="1"/>
  <c r="B104" i="2"/>
  <c r="D104" i="2" l="1"/>
  <c r="G104" i="2"/>
  <c r="H104" i="2" l="1"/>
  <c r="E104" i="2"/>
  <c r="F104" i="2" l="1"/>
  <c r="B105" i="2" s="1"/>
  <c r="G105" i="2" s="1"/>
  <c r="D105" i="2" l="1"/>
  <c r="E105" i="2" s="1"/>
  <c r="H105" i="2"/>
  <c r="F105" i="2" l="1"/>
  <c r="B106" i="2" s="1"/>
  <c r="G106" i="2" s="1"/>
  <c r="D106" i="2" l="1"/>
  <c r="E106" i="2" s="1"/>
  <c r="H106" i="2"/>
  <c r="F106" i="2" l="1"/>
  <c r="B107" i="2" s="1"/>
  <c r="G107" i="2" s="1"/>
  <c r="D107" i="2" l="1"/>
  <c r="E107" i="2" s="1"/>
  <c r="H107" i="2"/>
  <c r="F107" i="2" l="1"/>
  <c r="B108" i="2" s="1"/>
  <c r="G108" i="2" s="1"/>
  <c r="D108" i="2" l="1"/>
  <c r="E108" i="2" s="1"/>
  <c r="H108" i="2"/>
  <c r="F108" i="2" l="1"/>
  <c r="B109" i="2" s="1"/>
  <c r="G109" i="2" s="1"/>
  <c r="H109" i="2" s="1"/>
  <c r="D109" i="2" l="1"/>
  <c r="E109" i="2" s="1"/>
  <c r="F109" i="2" s="1"/>
  <c r="B110" i="2" s="1"/>
  <c r="G110" i="2" l="1"/>
  <c r="H110" i="2" s="1"/>
  <c r="D110" i="2"/>
  <c r="E110" i="2" l="1"/>
  <c r="F110" i="2" s="1"/>
  <c r="B111" i="2" s="1"/>
  <c r="G111" i="2" l="1"/>
  <c r="H111" i="2" s="1"/>
  <c r="D111" i="2"/>
  <c r="E111" i="2" l="1"/>
  <c r="F111" i="2" s="1"/>
  <c r="B112" i="2" s="1"/>
  <c r="G112" i="2" l="1"/>
  <c r="H112" i="2" s="1"/>
  <c r="D112" i="2"/>
  <c r="E112" i="2" l="1"/>
  <c r="F112" i="2" s="1"/>
  <c r="B113" i="2" s="1"/>
  <c r="G113" i="2" l="1"/>
  <c r="H113" i="2" s="1"/>
  <c r="D113" i="2"/>
  <c r="E113" i="2" l="1"/>
  <c r="F113" i="2" s="1"/>
  <c r="B114" i="2" s="1"/>
  <c r="G114" i="2" l="1"/>
  <c r="H114" i="2" s="1"/>
  <c r="D114" i="2"/>
  <c r="E114" i="2" l="1"/>
  <c r="F114" i="2" s="1"/>
  <c r="B115" i="2" s="1"/>
  <c r="G115" i="2" l="1"/>
  <c r="H115" i="2" s="1"/>
  <c r="D115" i="2"/>
  <c r="E115" i="2" l="1"/>
  <c r="F115" i="2" s="1"/>
  <c r="B17" i="3" s="1" a="1"/>
  <c r="B17" i="3" s="1"/>
  <c r="C11" i="4" s="1" a="1"/>
  <c r="C11" i="4" s="1"/>
  <c r="I11" i="4" s="1"/>
  <c r="B12" i="5" s="1"/>
  <c r="C12" i="5" l="1"/>
  <c r="B116" i="2"/>
  <c r="G116" i="2" l="1"/>
  <c r="D116" i="2"/>
  <c r="H116" i="2" l="1"/>
  <c r="E116" i="2"/>
  <c r="F116" i="2" l="1"/>
  <c r="B117" i="2" s="1"/>
  <c r="G117" i="2" s="1"/>
  <c r="D117" i="2" l="1"/>
  <c r="E117" i="2" s="1"/>
  <c r="H117" i="2"/>
  <c r="F117" i="2" l="1"/>
  <c r="B118" i="2" s="1"/>
  <c r="G118" i="2" s="1"/>
  <c r="D118" i="2" l="1"/>
  <c r="E118" i="2" s="1"/>
  <c r="H118" i="2"/>
  <c r="F118" i="2" l="1"/>
  <c r="B119" i="2" s="1"/>
  <c r="D119" i="2" s="1"/>
  <c r="G119" i="2" l="1"/>
  <c r="H119" i="2" s="1"/>
  <c r="E119" i="2"/>
  <c r="F119" i="2" l="1"/>
  <c r="B120" i="2" s="1"/>
  <c r="G120" i="2" s="1"/>
  <c r="D120" i="2" l="1"/>
  <c r="E120" i="2" s="1"/>
  <c r="F120" i="2" s="1"/>
  <c r="B121" i="2" s="1"/>
  <c r="G121" i="2" s="1"/>
  <c r="H121" i="2" s="1"/>
  <c r="H120" i="2"/>
  <c r="D121" i="2" l="1"/>
  <c r="E121" i="2" s="1"/>
  <c r="F121" i="2" l="1"/>
  <c r="B122" i="2" s="1"/>
  <c r="G122" i="2" s="1"/>
  <c r="H122" i="2" s="1"/>
  <c r="D122" i="2" l="1"/>
  <c r="E122" i="2" s="1"/>
  <c r="F122" i="2" s="1"/>
  <c r="B123" i="2" s="1"/>
  <c r="G123" i="2" l="1"/>
  <c r="H123" i="2" s="1"/>
  <c r="D123" i="2"/>
  <c r="E123" i="2" l="1"/>
  <c r="F123" i="2" s="1"/>
  <c r="B124" i="2" s="1"/>
  <c r="G124" i="2" l="1"/>
  <c r="H124" i="2" s="1"/>
  <c r="D124" i="2"/>
  <c r="E124" i="2" l="1"/>
  <c r="F124" i="2" s="1"/>
  <c r="B125" i="2" s="1"/>
  <c r="D125" i="2" l="1"/>
  <c r="G125" i="2"/>
  <c r="H125" i="2" s="1"/>
  <c r="E125" i="2" l="1"/>
  <c r="F125" i="2" s="1"/>
  <c r="B126" i="2" s="1"/>
  <c r="G126" i="2" l="1"/>
  <c r="H126" i="2" s="1"/>
  <c r="D126" i="2"/>
  <c r="E126" i="2" l="1"/>
  <c r="F126" i="2" s="1"/>
  <c r="B127" i="2" s="1"/>
  <c r="G127" i="2" l="1"/>
  <c r="H127" i="2" s="1"/>
  <c r="D127" i="2"/>
  <c r="E127" i="2" l="1"/>
  <c r="F127" i="2" s="1"/>
  <c r="B18" i="3" s="1" a="1"/>
  <c r="B18" i="3" s="1"/>
  <c r="C12" i="4" s="1" a="1"/>
  <c r="C12" i="4" s="1"/>
  <c r="I12" i="4" s="1"/>
  <c r="B13" i="5" s="1"/>
  <c r="C13" i="5" l="1"/>
  <c r="B128" i="2"/>
  <c r="G128" i="2" l="1"/>
  <c r="D128" i="2"/>
  <c r="H128" i="2" l="1"/>
  <c r="E128" i="2"/>
  <c r="F128" i="2" l="1"/>
  <c r="B129" i="2" s="1"/>
  <c r="D129" i="2" s="1"/>
  <c r="G129" i="2" l="1"/>
  <c r="H129" i="2" s="1"/>
  <c r="E129" i="2"/>
  <c r="F129" i="2" l="1"/>
  <c r="B130" i="2" s="1"/>
  <c r="G130" i="2" s="1"/>
  <c r="D130" i="2" l="1"/>
  <c r="E130" i="2" s="1"/>
  <c r="H130" i="2"/>
  <c r="F130" i="2" l="1"/>
  <c r="B131" i="2" s="1"/>
  <c r="G131" i="2" s="1"/>
  <c r="D131" i="2" l="1"/>
  <c r="E131" i="2" s="1"/>
  <c r="H131" i="2"/>
  <c r="F131" i="2" l="1"/>
  <c r="B132" i="2" s="1"/>
  <c r="G132" i="2" s="1"/>
  <c r="D132" i="2" l="1"/>
  <c r="E132" i="2" s="1"/>
  <c r="F132" i="2" s="1"/>
  <c r="B133" i="2" s="1"/>
  <c r="H132" i="2"/>
  <c r="G133" i="2" l="1"/>
  <c r="H133" i="2" s="1"/>
  <c r="D133" i="2"/>
  <c r="E133" i="2" l="1"/>
  <c r="F133" i="2" s="1"/>
  <c r="B134" i="2" s="1"/>
  <c r="G134" i="2" l="1"/>
  <c r="H134" i="2" s="1"/>
  <c r="D134" i="2"/>
  <c r="E134" i="2" l="1"/>
  <c r="F134" i="2" s="1"/>
  <c r="B135" i="2" s="1"/>
  <c r="G135" i="2" l="1"/>
  <c r="H135" i="2" s="1"/>
  <c r="D135" i="2"/>
  <c r="E135" i="2" l="1"/>
  <c r="F135" i="2" s="1"/>
  <c r="B136" i="2" s="1"/>
  <c r="G136" i="2" l="1"/>
  <c r="H136" i="2" s="1"/>
  <c r="D136" i="2"/>
  <c r="E136" i="2" l="1"/>
  <c r="F136" i="2" s="1"/>
  <c r="B137" i="2" s="1"/>
  <c r="G137" i="2" l="1"/>
  <c r="H137" i="2" s="1"/>
  <c r="D137" i="2"/>
  <c r="E137" i="2" l="1"/>
  <c r="F137" i="2" s="1"/>
  <c r="B138" i="2" s="1"/>
  <c r="G138" i="2" l="1"/>
  <c r="H138" i="2" s="1"/>
  <c r="D138" i="2"/>
  <c r="E138" i="2" l="1"/>
  <c r="F138" i="2" s="1"/>
  <c r="B139" i="2" s="1"/>
  <c r="G139" i="2" l="1"/>
  <c r="H139" i="2" s="1"/>
  <c r="D139" i="2"/>
  <c r="E139" i="2" l="1"/>
  <c r="F139" i="2" s="1"/>
  <c r="B19" i="3" s="1" a="1"/>
  <c r="B19" i="3" s="1"/>
  <c r="C13" i="4" s="1" a="1"/>
  <c r="C13" i="4" s="1"/>
  <c r="I13" i="4" s="1"/>
  <c r="B14" i="5" s="1"/>
  <c r="C14" i="5" l="1"/>
  <c r="B140" i="2"/>
  <c r="G140" i="2" l="1"/>
  <c r="D140" i="2"/>
  <c r="H140" i="2" l="1"/>
  <c r="E140" i="2"/>
  <c r="F140" i="2" l="1"/>
  <c r="B141" i="2" s="1"/>
  <c r="G141" i="2" s="1"/>
  <c r="D141" i="2" l="1"/>
  <c r="E141" i="2" s="1"/>
  <c r="H141" i="2"/>
  <c r="F141" i="2" l="1"/>
  <c r="B142" i="2" s="1"/>
  <c r="G142" i="2" s="1"/>
  <c r="D142" i="2" l="1"/>
  <c r="E142" i="2" s="1"/>
  <c r="H142" i="2"/>
  <c r="F142" i="2" l="1"/>
  <c r="B143" i="2" s="1"/>
  <c r="G143" i="2" s="1"/>
  <c r="D143" i="2" l="1"/>
  <c r="E143" i="2" s="1"/>
  <c r="H143" i="2"/>
  <c r="F143" i="2" l="1"/>
  <c r="B144" i="2" s="1"/>
  <c r="G144" i="2" s="1"/>
  <c r="D144" i="2" l="1"/>
  <c r="E144" i="2" s="1"/>
  <c r="H144" i="2"/>
  <c r="F144" i="2" l="1"/>
  <c r="B145" i="2" s="1"/>
  <c r="G145" i="2" s="1"/>
  <c r="H145" i="2" s="1"/>
  <c r="D145" i="2" l="1"/>
  <c r="E145" i="2" s="1"/>
  <c r="F145" i="2" s="1"/>
  <c r="B146" i="2" s="1"/>
  <c r="G146" i="2" l="1"/>
  <c r="H146" i="2" s="1"/>
  <c r="D146" i="2"/>
  <c r="E146" i="2" l="1"/>
  <c r="F146" i="2" s="1"/>
  <c r="B147" i="2" s="1"/>
  <c r="G147" i="2" l="1"/>
  <c r="H147" i="2" s="1"/>
  <c r="D147" i="2"/>
  <c r="E147" i="2" l="1"/>
  <c r="F147" i="2" s="1"/>
  <c r="B148" i="2" s="1"/>
  <c r="G148" i="2" l="1"/>
  <c r="H148" i="2" s="1"/>
  <c r="D148" i="2"/>
  <c r="E148" i="2" l="1"/>
  <c r="F148" i="2" s="1"/>
  <c r="B149" i="2" s="1"/>
  <c r="G149" i="2" l="1"/>
  <c r="H149" i="2" s="1"/>
  <c r="D149" i="2"/>
  <c r="E149" i="2" l="1"/>
  <c r="F149" i="2" s="1"/>
  <c r="B150" i="2" s="1"/>
  <c r="G150" i="2" l="1"/>
  <c r="H150" i="2" s="1"/>
  <c r="D150" i="2"/>
  <c r="E150" i="2" l="1"/>
  <c r="F150" i="2" s="1"/>
  <c r="B151" i="2" s="1"/>
  <c r="G151" i="2" l="1"/>
  <c r="H151" i="2" s="1"/>
  <c r="D151" i="2"/>
  <c r="E151" i="2" l="1"/>
  <c r="F151" i="2" s="1"/>
  <c r="B20" i="3" s="1" a="1"/>
  <c r="B20" i="3" s="1"/>
  <c r="C14" i="4" s="1" a="1"/>
  <c r="C14" i="4" s="1"/>
  <c r="I14" i="4" s="1"/>
  <c r="B15" i="5" s="1"/>
  <c r="C15" i="5" l="1"/>
  <c r="B152" i="2"/>
  <c r="G152" i="2" l="1"/>
  <c r="D152" i="2"/>
  <c r="H152" i="2" l="1"/>
  <c r="E152" i="2"/>
  <c r="F152" i="2" l="1"/>
  <c r="B153" i="2" s="1"/>
  <c r="G153" i="2" s="1"/>
  <c r="D153" i="2" l="1"/>
  <c r="E153" i="2" s="1"/>
  <c r="H153" i="2"/>
  <c r="F153" i="2" l="1"/>
  <c r="B154" i="2" s="1"/>
  <c r="G154" i="2" s="1"/>
  <c r="D154" i="2" l="1"/>
  <c r="E154" i="2" s="1"/>
  <c r="H154" i="2"/>
  <c r="F154" i="2" l="1"/>
  <c r="B155" i="2" s="1"/>
  <c r="G155" i="2" s="1"/>
  <c r="D155" i="2" l="1"/>
  <c r="E155" i="2" s="1"/>
  <c r="H155" i="2"/>
  <c r="F155" i="2" l="1"/>
  <c r="B156" i="2" s="1"/>
  <c r="G156" i="2" s="1"/>
  <c r="D156" i="2" l="1"/>
  <c r="E156" i="2" s="1"/>
  <c r="H156" i="2"/>
  <c r="F156" i="2" l="1"/>
  <c r="B157" i="2" s="1"/>
  <c r="G157" i="2" s="1"/>
  <c r="H157" i="2" s="1"/>
  <c r="D157" i="2" l="1"/>
  <c r="E157" i="2" s="1"/>
  <c r="F157" i="2" s="1"/>
  <c r="B158" i="2" s="1"/>
  <c r="G158" i="2" l="1"/>
  <c r="H158" i="2" s="1"/>
  <c r="D158" i="2"/>
  <c r="E158" i="2" l="1"/>
  <c r="F158" i="2" s="1"/>
  <c r="B159" i="2" s="1"/>
  <c r="G159" i="2" l="1"/>
  <c r="H159" i="2" s="1"/>
  <c r="D159" i="2"/>
  <c r="E159" i="2" l="1"/>
  <c r="F159" i="2" s="1"/>
  <c r="B160" i="2" s="1"/>
  <c r="G160" i="2" l="1"/>
  <c r="H160" i="2" s="1"/>
  <c r="D160" i="2"/>
  <c r="E160" i="2" l="1"/>
  <c r="F160" i="2" s="1"/>
  <c r="B161" i="2" s="1"/>
  <c r="G161" i="2" l="1"/>
  <c r="H161" i="2" s="1"/>
  <c r="D161" i="2"/>
  <c r="E161" i="2" l="1"/>
  <c r="F161" i="2" s="1"/>
  <c r="B162" i="2" s="1"/>
  <c r="G162" i="2" l="1"/>
  <c r="H162" i="2" s="1"/>
  <c r="D162" i="2"/>
  <c r="E162" i="2" l="1"/>
  <c r="F162" i="2" s="1"/>
  <c r="B163" i="2" s="1"/>
  <c r="G163" i="2" l="1"/>
  <c r="H163" i="2" s="1"/>
  <c r="D163" i="2"/>
  <c r="E163" i="2" l="1"/>
  <c r="F163" i="2" s="1"/>
  <c r="B21" i="3" s="1" a="1"/>
  <c r="B21" i="3" s="1"/>
  <c r="C15" i="4" s="1" a="1"/>
  <c r="C15" i="4" s="1"/>
  <c r="I15" i="4" s="1"/>
  <c r="B16" i="5" s="1"/>
  <c r="C16" i="5" l="1"/>
  <c r="B164" i="2"/>
  <c r="G164" i="2" l="1"/>
  <c r="D164" i="2"/>
  <c r="E164" i="2" l="1"/>
  <c r="H164" i="2"/>
  <c r="F164" i="2" l="1"/>
  <c r="B165" i="2" s="1"/>
  <c r="G165" i="2" l="1"/>
  <c r="D165" i="2"/>
  <c r="E165" i="2" l="1"/>
  <c r="H165" i="2"/>
  <c r="F165" i="2" l="1"/>
  <c r="B166" i="2" s="1"/>
  <c r="G166" i="2" l="1"/>
  <c r="D166" i="2"/>
  <c r="E166" i="2" l="1"/>
  <c r="H166" i="2"/>
  <c r="F166" i="2" l="1"/>
  <c r="B167" i="2" s="1"/>
  <c r="G167" i="2" l="1"/>
  <c r="D167" i="2"/>
  <c r="E167" i="2" l="1"/>
  <c r="H167" i="2"/>
  <c r="F167" i="2" l="1"/>
  <c r="B168" i="2" s="1"/>
  <c r="G168" i="2" l="1"/>
  <c r="D168" i="2"/>
  <c r="E168" i="2" l="1"/>
  <c r="H168" i="2"/>
  <c r="F168" i="2" l="1"/>
  <c r="B169" i="2" s="1"/>
  <c r="G169" i="2" l="1"/>
  <c r="H169" i="2" s="1"/>
  <c r="D169" i="2"/>
  <c r="E169" i="2" s="1"/>
  <c r="F169" i="2" s="1"/>
  <c r="B170" i="2" s="1"/>
  <c r="G170" i="2" l="1"/>
  <c r="H170" i="2" s="1"/>
  <c r="D170" i="2"/>
  <c r="E170" i="2" s="1"/>
  <c r="F170" i="2" s="1"/>
  <c r="B171" i="2" s="1"/>
  <c r="D171" i="2" l="1"/>
  <c r="E171" i="2" s="1"/>
  <c r="F171" i="2" s="1"/>
  <c r="B172" i="2" s="1"/>
  <c r="G171" i="2"/>
  <c r="H171" i="2" s="1"/>
  <c r="G172" i="2" l="1"/>
  <c r="H172" i="2" s="1"/>
  <c r="D172" i="2"/>
  <c r="E172" i="2" s="1"/>
  <c r="F172" i="2" s="1"/>
  <c r="B173" i="2" s="1"/>
  <c r="G173" i="2" l="1"/>
  <c r="H173" i="2" s="1"/>
  <c r="D173" i="2"/>
  <c r="E173" i="2" s="1"/>
  <c r="F173" i="2" s="1"/>
  <c r="B174" i="2" s="1"/>
  <c r="G174" i="2" l="1"/>
  <c r="H174" i="2" s="1"/>
  <c r="D174" i="2"/>
  <c r="E174" i="2" s="1"/>
  <c r="F174" i="2" s="1"/>
  <c r="B175" i="2" s="1"/>
  <c r="G175" i="2" s="1"/>
  <c r="H175" i="2" s="1"/>
  <c r="D175" i="2" l="1"/>
  <c r="E175" i="2" s="1"/>
  <c r="F175" i="2" s="1"/>
  <c r="B22" i="3" s="1" a="1"/>
  <c r="B22" i="3" s="1"/>
  <c r="C16" i="4" s="1" a="1"/>
  <c r="C16" i="4" s="1"/>
  <c r="I16" i="4" s="1"/>
  <c r="B17" i="5" s="1"/>
  <c r="C17" i="5" l="1"/>
  <c r="B176" i="2"/>
  <c r="G176" i="2" l="1"/>
  <c r="D176" i="2"/>
  <c r="H176" i="2" l="1"/>
  <c r="E176" i="2"/>
  <c r="F176" i="2" l="1"/>
  <c r="B177" i="2" s="1"/>
  <c r="G177" i="2" s="1"/>
  <c r="D177" i="2" l="1"/>
  <c r="E177" i="2" s="1"/>
  <c r="H177" i="2"/>
  <c r="F177" i="2" l="1"/>
  <c r="B178" i="2" s="1"/>
  <c r="G178" i="2" s="1"/>
  <c r="D178" i="2" l="1"/>
  <c r="E178" i="2" s="1"/>
  <c r="H178" i="2"/>
  <c r="F178" i="2" l="1"/>
  <c r="B179" i="2" s="1"/>
  <c r="G179" i="2" s="1"/>
  <c r="D179" i="2" l="1"/>
  <c r="E179" i="2" s="1"/>
  <c r="H179" i="2"/>
  <c r="F179" i="2" l="1"/>
  <c r="B180" i="2" s="1"/>
  <c r="G180" i="2" s="1"/>
  <c r="D180" i="2" l="1"/>
  <c r="E180" i="2" s="1"/>
  <c r="F180" i="2" s="1"/>
  <c r="B181" i="2" s="1"/>
  <c r="H180" i="2"/>
  <c r="G181" i="2" l="1"/>
  <c r="H181" i="2" s="1"/>
  <c r="D181" i="2"/>
  <c r="E181" i="2" l="1"/>
  <c r="F181" i="2" s="1"/>
  <c r="B182" i="2" s="1"/>
  <c r="G182" i="2" l="1"/>
  <c r="H182" i="2" s="1"/>
  <c r="D182" i="2"/>
  <c r="E182" i="2" l="1"/>
  <c r="F182" i="2" s="1"/>
  <c r="B183" i="2" s="1"/>
  <c r="G183" i="2" l="1"/>
  <c r="H183" i="2" s="1"/>
  <c r="D183" i="2"/>
  <c r="E183" i="2" l="1"/>
  <c r="F183" i="2" s="1"/>
  <c r="B184" i="2" s="1"/>
  <c r="G184" i="2" l="1"/>
  <c r="H184" i="2" s="1"/>
  <c r="D184" i="2"/>
  <c r="E184" i="2" l="1"/>
  <c r="F184" i="2" s="1"/>
  <c r="B185" i="2" s="1"/>
  <c r="G185" i="2" l="1"/>
  <c r="H185" i="2" s="1"/>
  <c r="D185" i="2"/>
  <c r="E185" i="2" l="1"/>
  <c r="F185" i="2" s="1"/>
  <c r="B186" i="2" s="1"/>
  <c r="D186" i="2" l="1"/>
  <c r="G186" i="2"/>
  <c r="H186" i="2" s="1"/>
  <c r="E186" i="2" l="1"/>
  <c r="F186" i="2" s="1"/>
  <c r="B187" i="2" s="1"/>
  <c r="G187" i="2" l="1"/>
  <c r="H187" i="2" s="1"/>
  <c r="D187" i="2"/>
  <c r="E187" i="2" l="1"/>
  <c r="F187" i="2" s="1"/>
  <c r="B23" i="3" s="1" a="1"/>
  <c r="B23" i="3" s="1"/>
  <c r="C17" i="4" s="1" a="1"/>
  <c r="C17" i="4" s="1"/>
  <c r="I17" i="4" s="1"/>
  <c r="B18" i="5" s="1"/>
  <c r="C18" i="5" l="1"/>
  <c r="B188" i="2"/>
  <c r="G188" i="2" l="1"/>
  <c r="D188" i="2"/>
  <c r="H188" i="2" l="1"/>
  <c r="E188" i="2"/>
  <c r="F188" i="2" l="1"/>
  <c r="B189" i="2" s="1"/>
  <c r="G189" i="2" s="1"/>
  <c r="D189" i="2" l="1"/>
  <c r="E189" i="2" s="1"/>
  <c r="H189" i="2"/>
  <c r="F189" i="2" l="1"/>
  <c r="B190" i="2" s="1"/>
  <c r="G190" i="2" s="1"/>
  <c r="D190" i="2" l="1"/>
  <c r="E190" i="2" s="1"/>
  <c r="H190" i="2"/>
  <c r="F190" i="2" l="1"/>
  <c r="B191" i="2" s="1"/>
  <c r="G191" i="2" s="1"/>
  <c r="D191" i="2" l="1"/>
  <c r="E191" i="2" s="1"/>
  <c r="H191" i="2"/>
  <c r="F191" i="2" l="1"/>
  <c r="B192" i="2" s="1"/>
  <c r="G192" i="2" s="1"/>
  <c r="D192" i="2" l="1"/>
  <c r="E192" i="2" s="1"/>
  <c r="H192" i="2"/>
  <c r="F192" i="2" l="1"/>
  <c r="B193" i="2" s="1"/>
  <c r="G193" i="2" s="1"/>
  <c r="H193" i="2" s="1"/>
  <c r="D193" i="2" l="1"/>
  <c r="E193" i="2" s="1"/>
  <c r="F193" i="2" s="1"/>
  <c r="B194" i="2" s="1"/>
  <c r="G194" i="2" l="1"/>
  <c r="H194" i="2" s="1"/>
  <c r="D194" i="2"/>
  <c r="E194" i="2" l="1"/>
  <c r="F194" i="2" s="1"/>
  <c r="B195" i="2" s="1"/>
  <c r="G195" i="2" l="1"/>
  <c r="H195" i="2" s="1"/>
  <c r="D195" i="2"/>
  <c r="E195" i="2" l="1"/>
  <c r="F195" i="2" s="1"/>
  <c r="B196" i="2" s="1"/>
  <c r="G196" i="2" l="1"/>
  <c r="H196" i="2" s="1"/>
  <c r="D196" i="2"/>
  <c r="E196" i="2" l="1"/>
  <c r="F196" i="2" s="1"/>
  <c r="B197" i="2" s="1"/>
  <c r="G197" i="2" l="1"/>
  <c r="H197" i="2" s="1"/>
  <c r="D197" i="2"/>
  <c r="E197" i="2" l="1"/>
  <c r="F197" i="2" s="1"/>
  <c r="B198" i="2" s="1"/>
  <c r="G198" i="2" l="1"/>
  <c r="H198" i="2" s="1"/>
  <c r="D198" i="2"/>
  <c r="E198" i="2" s="1"/>
  <c r="F198" i="2" s="1"/>
  <c r="B199" i="2" s="1"/>
  <c r="G199" i="2" l="1"/>
  <c r="H199" i="2" s="1"/>
  <c r="D199" i="2"/>
  <c r="E199" i="2" l="1"/>
  <c r="F199" i="2" s="1"/>
  <c r="B24" i="3" s="1" a="1"/>
  <c r="B24" i="3" s="1"/>
  <c r="C18" i="4" s="1" a="1"/>
  <c r="C18" i="4" s="1"/>
  <c r="I18" i="4" s="1"/>
  <c r="B19" i="5" s="1"/>
  <c r="C19" i="5" l="1"/>
  <c r="B200" i="2"/>
  <c r="D200" i="2" l="1"/>
  <c r="G200" i="2"/>
  <c r="H200" i="2" l="1"/>
  <c r="E200" i="2"/>
  <c r="F200" i="2" l="1"/>
  <c r="B201" i="2" s="1"/>
  <c r="G201" i="2" s="1"/>
  <c r="D201" i="2" l="1"/>
  <c r="E201" i="2" s="1"/>
  <c r="H201" i="2"/>
  <c r="F201" i="2" l="1"/>
  <c r="B202" i="2" s="1"/>
  <c r="G202" i="2" s="1"/>
  <c r="D202" i="2" l="1"/>
  <c r="E202" i="2" s="1"/>
  <c r="H202" i="2"/>
  <c r="F202" i="2" l="1"/>
  <c r="B203" i="2" s="1"/>
  <c r="G203" i="2" l="1"/>
  <c r="D203" i="2"/>
  <c r="E203" i="2" s="1"/>
  <c r="F203" i="2" l="1"/>
  <c r="B204" i="2" s="1"/>
  <c r="H203" i="2"/>
  <c r="D204" i="2" l="1"/>
  <c r="E204" i="2" s="1"/>
  <c r="F204" i="2" s="1"/>
  <c r="B205" i="2" s="1"/>
  <c r="G205" i="2" s="1"/>
  <c r="H205" i="2" s="1"/>
  <c r="G204" i="2"/>
  <c r="D205" i="2" l="1"/>
  <c r="E205" i="2" s="1"/>
  <c r="F205" i="2" s="1"/>
  <c r="B206" i="2" s="1"/>
  <c r="H204" i="2"/>
  <c r="G206" i="2" l="1"/>
  <c r="H206" i="2" s="1"/>
  <c r="D206" i="2"/>
  <c r="E206" i="2" l="1"/>
  <c r="F206" i="2" s="1"/>
  <c r="B207" i="2" s="1"/>
  <c r="G207" i="2" l="1"/>
  <c r="H207" i="2" s="1"/>
  <c r="D207" i="2"/>
  <c r="E207" i="2" l="1"/>
  <c r="F207" i="2" s="1"/>
  <c r="B208" i="2" s="1"/>
  <c r="G208" i="2" l="1"/>
  <c r="H208" i="2" s="1"/>
  <c r="D208" i="2"/>
  <c r="E208" i="2" l="1"/>
  <c r="F208" i="2" s="1"/>
  <c r="B209" i="2" s="1"/>
  <c r="G209" i="2" l="1"/>
  <c r="H209" i="2" s="1"/>
  <c r="D209" i="2"/>
  <c r="E209" i="2" l="1"/>
  <c r="F209" i="2" s="1"/>
  <c r="B210" i="2" s="1"/>
  <c r="G210" i="2" l="1"/>
  <c r="H210" i="2" s="1"/>
  <c r="D210" i="2"/>
  <c r="E210" i="2" l="1"/>
  <c r="F210" i="2" s="1"/>
  <c r="B211" i="2" s="1"/>
  <c r="G211" i="2" l="1"/>
  <c r="H211" i="2" s="1"/>
  <c r="D211" i="2"/>
  <c r="E211" i="2" l="1"/>
  <c r="F211" i="2" s="1"/>
  <c r="B25" i="3" s="1" a="1"/>
  <c r="B25" i="3" s="1"/>
  <c r="C19" i="4" s="1" a="1"/>
  <c r="C19" i="4" s="1"/>
  <c r="I19" i="4" s="1"/>
  <c r="B20" i="5" s="1"/>
  <c r="C20" i="5" l="1"/>
  <c r="B212" i="2"/>
  <c r="G212" i="2" l="1"/>
  <c r="D212" i="2"/>
  <c r="H212" i="2" l="1"/>
  <c r="E212" i="2"/>
  <c r="F212" i="2" l="1"/>
  <c r="B213" i="2" s="1"/>
  <c r="G213" i="2" s="1"/>
  <c r="D213" i="2" l="1"/>
  <c r="E213" i="2" s="1"/>
  <c r="H213" i="2"/>
  <c r="F213" i="2" l="1"/>
  <c r="B214" i="2" s="1"/>
  <c r="D214" i="2" s="1"/>
  <c r="G214" i="2" l="1"/>
  <c r="H214" i="2" s="1"/>
  <c r="E214" i="2"/>
  <c r="F214" i="2" l="1"/>
  <c r="B215" i="2" s="1"/>
  <c r="G215" i="2" s="1"/>
  <c r="D215" i="2" l="1"/>
  <c r="E215" i="2" s="1"/>
  <c r="H215" i="2"/>
  <c r="F215" i="2" l="1"/>
  <c r="B216" i="2" s="1"/>
  <c r="G216" i="2" s="1"/>
  <c r="D216" i="2" l="1"/>
  <c r="E216" i="2" s="1"/>
  <c r="H216" i="2"/>
  <c r="F216" i="2" l="1"/>
  <c r="B217" i="2" s="1"/>
  <c r="G217" i="2" s="1"/>
  <c r="H217" i="2" s="1"/>
  <c r="D217" i="2" l="1"/>
  <c r="E217" i="2" s="1"/>
  <c r="F217" i="2" s="1"/>
  <c r="B218" i="2" s="1"/>
  <c r="G218" i="2" l="1"/>
  <c r="H218" i="2" s="1"/>
  <c r="D218" i="2"/>
  <c r="E218" i="2" s="1"/>
  <c r="F218" i="2" s="1"/>
  <c r="B219" i="2" s="1"/>
  <c r="G219" i="2" l="1"/>
  <c r="H219" i="2" s="1"/>
  <c r="D219" i="2"/>
  <c r="E219" i="2" l="1"/>
  <c r="F219" i="2" s="1"/>
  <c r="B220" i="2" s="1"/>
  <c r="G220" i="2" l="1"/>
  <c r="H220" i="2" s="1"/>
  <c r="D220" i="2"/>
  <c r="E220" i="2" l="1"/>
  <c r="F220" i="2" s="1"/>
  <c r="B221" i="2" s="1"/>
  <c r="G221" i="2" l="1"/>
  <c r="H221" i="2" s="1"/>
  <c r="D221" i="2"/>
  <c r="E221" i="2" l="1"/>
  <c r="F221" i="2" s="1"/>
  <c r="B222" i="2" s="1"/>
  <c r="G222" i="2" l="1"/>
  <c r="H222" i="2" s="1"/>
  <c r="D222" i="2"/>
  <c r="E222" i="2" l="1"/>
  <c r="F222" i="2" s="1"/>
  <c r="B223" i="2" s="1"/>
  <c r="D223" i="2" l="1"/>
  <c r="G223" i="2"/>
  <c r="H223" i="2" s="1"/>
  <c r="E223" i="2" l="1"/>
  <c r="F223" i="2" s="1"/>
  <c r="B26" i="3" s="1" a="1"/>
  <c r="B26" i="3" s="1"/>
  <c r="C20" i="4" s="1" a="1"/>
  <c r="C20" i="4" s="1"/>
  <c r="I20" i="4" s="1"/>
  <c r="B21" i="5" s="1"/>
  <c r="C21" i="5" l="1"/>
  <c r="B224" i="2"/>
  <c r="G224" i="2" l="1"/>
  <c r="D224" i="2"/>
  <c r="H224" i="2" l="1"/>
  <c r="E224" i="2"/>
  <c r="F224" i="2" l="1"/>
  <c r="B225" i="2" s="1"/>
  <c r="D225" i="2" s="1"/>
  <c r="G225" i="2" l="1"/>
  <c r="H225" i="2" s="1"/>
  <c r="E225" i="2"/>
  <c r="F225" i="2" l="1"/>
  <c r="B226" i="2" s="1"/>
  <c r="G226" i="2" s="1"/>
  <c r="D226" i="2" l="1"/>
  <c r="E226" i="2" s="1"/>
  <c r="H226" i="2"/>
  <c r="F226" i="2" l="1"/>
  <c r="B227" i="2" s="1"/>
  <c r="G227" i="2" s="1"/>
  <c r="D227" i="2" l="1"/>
  <c r="E227" i="2" s="1"/>
  <c r="H227" i="2"/>
  <c r="F227" i="2" l="1"/>
  <c r="B228" i="2" s="1"/>
  <c r="G228" i="2" s="1"/>
  <c r="D228" i="2" l="1"/>
  <c r="E228" i="2" s="1"/>
  <c r="H228" i="2"/>
  <c r="F228" i="2" l="1"/>
  <c r="B229" i="2" s="1"/>
  <c r="G229" i="2" s="1"/>
  <c r="H229" i="2" s="1"/>
  <c r="D229" i="2" l="1"/>
  <c r="E229" i="2" s="1"/>
  <c r="F229" i="2" s="1"/>
  <c r="B230" i="2" s="1"/>
  <c r="G230" i="2" l="1"/>
  <c r="H230" i="2" s="1"/>
  <c r="D230" i="2"/>
  <c r="E230" i="2" l="1"/>
  <c r="F230" i="2" s="1"/>
  <c r="B231" i="2" s="1"/>
  <c r="G231" i="2" l="1"/>
  <c r="H231" i="2" s="1"/>
  <c r="D231" i="2"/>
  <c r="E231" i="2" s="1"/>
  <c r="F231" i="2" s="1"/>
  <c r="B232" i="2" s="1"/>
  <c r="G232" i="2" l="1"/>
  <c r="H232" i="2" s="1"/>
  <c r="D232" i="2"/>
  <c r="E232" i="2" l="1"/>
  <c r="F232" i="2" s="1"/>
  <c r="B233" i="2" s="1"/>
  <c r="G233" i="2" l="1"/>
  <c r="H233" i="2" s="1"/>
  <c r="D233" i="2"/>
  <c r="E233" i="2" l="1"/>
  <c r="F233" i="2" s="1"/>
  <c r="B234" i="2" s="1"/>
  <c r="G234" i="2" l="1"/>
  <c r="H234" i="2" s="1"/>
  <c r="D234" i="2"/>
  <c r="E234" i="2" l="1"/>
  <c r="F234" i="2" s="1"/>
  <c r="B235" i="2" s="1"/>
  <c r="G235" i="2" l="1"/>
  <c r="H235" i="2" s="1"/>
  <c r="D235" i="2"/>
  <c r="E235" i="2" l="1"/>
  <c r="F235" i="2" s="1"/>
  <c r="B27" i="3" s="1" a="1"/>
  <c r="B27" i="3" s="1"/>
  <c r="C21" i="4" s="1" a="1"/>
  <c r="C21" i="4" s="1"/>
  <c r="I21" i="4" s="1"/>
  <c r="B22" i="5" s="1"/>
  <c r="C22" i="5" l="1"/>
  <c r="B236" i="2"/>
  <c r="G236" i="2" l="1"/>
  <c r="D236" i="2"/>
  <c r="H236" i="2" l="1"/>
  <c r="E236" i="2"/>
  <c r="F236" i="2" l="1"/>
  <c r="B237" i="2" s="1"/>
  <c r="G237" i="2" s="1"/>
  <c r="D237" i="2" l="1"/>
  <c r="E237" i="2" s="1"/>
  <c r="H237" i="2"/>
  <c r="F237" i="2" l="1"/>
  <c r="B238" i="2" s="1"/>
  <c r="G238" i="2" s="1"/>
  <c r="D238" i="2" l="1"/>
  <c r="E238" i="2" s="1"/>
  <c r="H238" i="2"/>
  <c r="F238" i="2" l="1"/>
  <c r="B239" i="2" s="1"/>
  <c r="G239" i="2" s="1"/>
  <c r="D239" i="2" l="1"/>
  <c r="E239" i="2" s="1"/>
  <c r="H239" i="2"/>
  <c r="F239" i="2" l="1"/>
  <c r="B240" i="2" s="1"/>
  <c r="G240" i="2" s="1"/>
  <c r="D240" i="2" l="1"/>
  <c r="E240" i="2" s="1"/>
  <c r="H240" i="2"/>
  <c r="F240" i="2" l="1"/>
  <c r="B241" i="2" s="1"/>
  <c r="G241" i="2" s="1"/>
  <c r="H241" i="2" s="1"/>
  <c r="D241" i="2" l="1"/>
  <c r="E241" i="2" s="1"/>
  <c r="F241" i="2" s="1"/>
  <c r="B242" i="2" s="1"/>
  <c r="G242" i="2" l="1"/>
  <c r="H242" i="2" s="1"/>
  <c r="D242" i="2"/>
  <c r="E242" i="2" l="1"/>
  <c r="F242" i="2" s="1"/>
  <c r="B243" i="2" s="1"/>
  <c r="G243" i="2" l="1"/>
  <c r="H243" i="2" s="1"/>
  <c r="D243" i="2"/>
  <c r="E243" i="2" l="1"/>
  <c r="F243" i="2" s="1"/>
  <c r="B244" i="2" s="1"/>
  <c r="G244" i="2" l="1"/>
  <c r="H244" i="2" s="1"/>
  <c r="D244" i="2"/>
  <c r="E244" i="2" l="1"/>
  <c r="F244" i="2" s="1"/>
  <c r="B245" i="2" s="1"/>
  <c r="G245" i="2" l="1"/>
  <c r="H245" i="2" s="1"/>
  <c r="D245" i="2"/>
  <c r="E245" i="2" s="1"/>
  <c r="F245" i="2" s="1"/>
  <c r="B246" i="2" s="1"/>
  <c r="G246" i="2" l="1"/>
  <c r="H246" i="2" s="1"/>
  <c r="D246" i="2"/>
  <c r="E246" i="2" l="1"/>
  <c r="F246" i="2" s="1"/>
  <c r="B247" i="2" s="1"/>
  <c r="G247" i="2" l="1"/>
  <c r="D247" i="2"/>
  <c r="H247" i="2" l="1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47" i="2"/>
  <c r="F247" i="2" s="1"/>
  <c r="B28" i="3" s="1" a="1"/>
  <c r="B28" i="3" s="1"/>
  <c r="C22" i="4" s="1" a="1"/>
  <c r="C22" i="4" s="1"/>
  <c r="I22" i="4" s="1"/>
  <c r="B23" i="5" s="1"/>
  <c r="C23" i="5" l="1"/>
  <c r="B248" i="2"/>
  <c r="D248" i="2" l="1"/>
  <c r="E248" i="2" s="1"/>
  <c r="G248" i="2"/>
  <c r="H248" i="2" l="1"/>
  <c r="F248" i="2"/>
  <c r="B249" i="2" s="1"/>
  <c r="D249" i="2" l="1"/>
  <c r="E249" i="2" s="1"/>
  <c r="F249" i="2" s="1"/>
  <c r="B250" i="2" s="1"/>
  <c r="G249" i="2"/>
  <c r="D250" i="2" l="1"/>
  <c r="E250" i="2" s="1"/>
  <c r="F250" i="2" s="1"/>
  <c r="B251" i="2" s="1"/>
  <c r="G250" i="2"/>
  <c r="H250" i="2" s="1"/>
  <c r="H249" i="2"/>
  <c r="D251" i="2" l="1"/>
  <c r="E251" i="2" s="1"/>
  <c r="F251" i="2" s="1"/>
  <c r="B252" i="2" s="1"/>
  <c r="G251" i="2"/>
  <c r="D252" i="2" l="1"/>
  <c r="E252" i="2" s="1"/>
  <c r="F252" i="2" s="1"/>
  <c r="B253" i="2" s="1"/>
  <c r="G252" i="2"/>
  <c r="H252" i="2" s="1"/>
  <c r="H251" i="2"/>
  <c r="D253" i="2" l="1"/>
  <c r="E253" i="2" s="1"/>
  <c r="F253" i="2" s="1"/>
  <c r="B254" i="2" s="1"/>
  <c r="G253" i="2"/>
  <c r="D254" i="2" l="1"/>
  <c r="E254" i="2" s="1"/>
  <c r="F254" i="2" s="1"/>
  <c r="B255" i="2" s="1"/>
  <c r="G254" i="2"/>
  <c r="H254" i="2" s="1"/>
  <c r="H253" i="2"/>
  <c r="D255" i="2" l="1"/>
  <c r="E255" i="2" s="1"/>
  <c r="F255" i="2" s="1"/>
  <c r="B256" i="2" s="1"/>
  <c r="G255" i="2"/>
  <c r="H255" i="2" l="1"/>
  <c r="D256" i="2"/>
  <c r="E256" i="2" s="1"/>
  <c r="F256" i="2" s="1"/>
  <c r="B257" i="2" s="1"/>
  <c r="G256" i="2"/>
  <c r="H256" i="2" s="1"/>
  <c r="D257" i="2" l="1"/>
  <c r="E257" i="2" s="1"/>
  <c r="F257" i="2" s="1"/>
  <c r="B258" i="2" s="1"/>
  <c r="G257" i="2"/>
  <c r="H257" i="2" s="1"/>
  <c r="D258" i="2" l="1"/>
  <c r="E258" i="2" s="1"/>
  <c r="F258" i="2" s="1"/>
  <c r="B259" i="2" s="1"/>
  <c r="G258" i="2"/>
  <c r="H258" i="2" s="1"/>
  <c r="D259" i="2" l="1"/>
  <c r="E259" i="2" s="1"/>
  <c r="F259" i="2" s="1"/>
  <c r="B29" i="3" s="1" a="1"/>
  <c r="B29" i="3" s="1"/>
  <c r="C23" i="4" s="1" a="1"/>
  <c r="C23" i="4" s="1"/>
  <c r="I23" i="4" s="1"/>
  <c r="B24" i="5" s="1"/>
  <c r="G259" i="2"/>
  <c r="H259" i="2" s="1"/>
  <c r="C24" i="5" l="1"/>
  <c r="B260" i="2"/>
  <c r="D260" i="2" s="1"/>
  <c r="E260" i="2" s="1"/>
  <c r="G260" i="2"/>
  <c r="H260" i="2" l="1"/>
  <c r="F260" i="2"/>
  <c r="B261" i="2" s="1"/>
  <c r="D261" i="2" l="1"/>
  <c r="E261" i="2" s="1"/>
  <c r="F261" i="2" s="1"/>
  <c r="B262" i="2" s="1"/>
  <c r="G261" i="2"/>
  <c r="H261" i="2" l="1"/>
  <c r="D262" i="2"/>
  <c r="E262" i="2" s="1"/>
  <c r="F262" i="2" s="1"/>
  <c r="B263" i="2" s="1"/>
  <c r="G262" i="2"/>
  <c r="H262" i="2" s="1"/>
  <c r="D263" i="2" l="1"/>
  <c r="E263" i="2" s="1"/>
  <c r="F263" i="2" s="1"/>
  <c r="B264" i="2" s="1"/>
  <c r="G263" i="2"/>
  <c r="H263" i="2" l="1"/>
  <c r="D264" i="2"/>
  <c r="E264" i="2" s="1"/>
  <c r="F264" i="2" s="1"/>
  <c r="B265" i="2" s="1"/>
  <c r="G264" i="2"/>
  <c r="H264" i="2" s="1"/>
  <c r="D265" i="2" l="1"/>
  <c r="E265" i="2" s="1"/>
  <c r="F265" i="2" s="1"/>
  <c r="B266" i="2" s="1"/>
  <c r="G266" i="2" s="1"/>
  <c r="H266" i="2" s="1"/>
  <c r="G265" i="2"/>
  <c r="D266" i="2" l="1"/>
  <c r="E266" i="2" s="1"/>
  <c r="F266" i="2" s="1"/>
  <c r="B267" i="2" s="1"/>
  <c r="D267" i="2" s="1"/>
  <c r="E267" i="2" s="1"/>
  <c r="F267" i="2" s="1"/>
  <c r="B268" i="2" s="1"/>
  <c r="H265" i="2"/>
  <c r="G267" i="2" l="1"/>
  <c r="H267" i="2" s="1"/>
  <c r="D268" i="2"/>
  <c r="G268" i="2"/>
  <c r="E268" i="2"/>
  <c r="F268" i="2" s="1"/>
  <c r="B269" i="2" s="1"/>
  <c r="D269" i="2" l="1"/>
  <c r="E269" i="2" s="1"/>
  <c r="F269" i="2" s="1"/>
  <c r="B270" i="2" s="1"/>
  <c r="G269" i="2"/>
  <c r="H269" i="2" s="1"/>
  <c r="H268" i="2"/>
  <c r="D270" i="2" l="1"/>
  <c r="E270" i="2" s="1"/>
  <c r="F270" i="2" s="1"/>
  <c r="B271" i="2" s="1"/>
  <c r="G270" i="2"/>
  <c r="H270" i="2" s="1"/>
  <c r="D271" i="2" l="1"/>
  <c r="E271" i="2" s="1"/>
  <c r="F271" i="2" s="1"/>
  <c r="B30" i="3" s="1" a="1"/>
  <c r="B30" i="3" s="1"/>
  <c r="C24" i="4" s="1" a="1"/>
  <c r="C24" i="4" s="1"/>
  <c r="I24" i="4" s="1"/>
  <c r="B25" i="5" s="1"/>
  <c r="G271" i="2"/>
  <c r="H271" i="2" s="1"/>
  <c r="C25" i="5" l="1"/>
  <c r="B272" i="2"/>
  <c r="D272" i="2" l="1"/>
  <c r="E272" i="2" s="1"/>
  <c r="G272" i="2"/>
  <c r="H272" i="2" s="1"/>
  <c r="F272" i="2" l="1"/>
  <c r="B273" i="2" s="1"/>
  <c r="D273" i="2" l="1"/>
  <c r="E273" i="2" s="1"/>
  <c r="F273" i="2" s="1"/>
  <c r="B274" i="2" s="1"/>
  <c r="G273" i="2"/>
  <c r="H273" i="2" s="1"/>
  <c r="D274" i="2" l="1"/>
  <c r="E274" i="2" s="1"/>
  <c r="F274" i="2" s="1"/>
  <c r="B275" i="2" s="1"/>
  <c r="G274" i="2"/>
  <c r="H274" i="2" s="1"/>
  <c r="D275" i="2" l="1"/>
  <c r="E275" i="2" s="1"/>
  <c r="F275" i="2" s="1"/>
  <c r="B276" i="2" s="1"/>
  <c r="G275" i="2"/>
  <c r="H275" i="2" s="1"/>
  <c r="D276" i="2" l="1"/>
  <c r="E276" i="2" s="1"/>
  <c r="F276" i="2" s="1"/>
  <c r="B277" i="2" s="1"/>
  <c r="G276" i="2"/>
  <c r="H276" i="2" s="1"/>
  <c r="D277" i="2" l="1"/>
  <c r="E277" i="2" s="1"/>
  <c r="F277" i="2" s="1"/>
  <c r="B278" i="2" s="1"/>
  <c r="G277" i="2"/>
  <c r="H277" i="2" s="1"/>
  <c r="D278" i="2" l="1"/>
  <c r="E278" i="2" s="1"/>
  <c r="F278" i="2" s="1"/>
  <c r="B279" i="2" s="1"/>
  <c r="G278" i="2"/>
  <c r="H278" i="2" s="1"/>
  <c r="D279" i="2" l="1"/>
  <c r="E279" i="2" s="1"/>
  <c r="F279" i="2" s="1"/>
  <c r="B280" i="2" s="1"/>
  <c r="G280" i="2" s="1"/>
  <c r="H280" i="2" s="1"/>
  <c r="G279" i="2"/>
  <c r="H279" i="2" s="1"/>
  <c r="D280" i="2" l="1"/>
  <c r="E280" i="2" s="1"/>
  <c r="F280" i="2" s="1"/>
  <c r="B281" i="2" s="1"/>
  <c r="D281" i="2" l="1"/>
  <c r="E281" i="2" s="1"/>
  <c r="F281" i="2" s="1"/>
  <c r="B282" i="2" s="1"/>
  <c r="G281" i="2"/>
  <c r="H281" i="2" l="1"/>
  <c r="D282" i="2"/>
  <c r="E282" i="2" s="1"/>
  <c r="F282" i="2" s="1"/>
  <c r="B283" i="2" s="1"/>
  <c r="G282" i="2"/>
  <c r="H282" i="2" s="1"/>
  <c r="D283" i="2" l="1"/>
  <c r="E283" i="2" s="1"/>
  <c r="F283" i="2" s="1"/>
  <c r="B31" i="3" s="1" a="1"/>
  <c r="B31" i="3" s="1"/>
  <c r="C25" i="4" s="1" a="1"/>
  <c r="C25" i="4" s="1"/>
  <c r="I25" i="4" s="1"/>
  <c r="B26" i="5" s="1"/>
  <c r="G283" i="2"/>
  <c r="C26" i="5" l="1"/>
  <c r="B284" i="2"/>
  <c r="H283" i="2"/>
  <c r="E31" i="3"/>
  <c r="D284" i="2" l="1"/>
  <c r="E284" i="2" s="1"/>
  <c r="F284" i="2" s="1"/>
  <c r="B285" i="2" s="1"/>
  <c r="G284" i="2"/>
  <c r="D285" i="2" l="1"/>
  <c r="E285" i="2" s="1"/>
  <c r="F285" i="2" s="1"/>
  <c r="B286" i="2" s="1"/>
  <c r="G285" i="2"/>
  <c r="H285" i="2" s="1"/>
  <c r="H284" i="2"/>
  <c r="D286" i="2" l="1"/>
  <c r="E286" i="2" s="1"/>
  <c r="F286" i="2" s="1"/>
  <c r="B287" i="2" s="1"/>
  <c r="G286" i="2"/>
  <c r="D287" i="2" l="1"/>
  <c r="E287" i="2" s="1"/>
  <c r="F287" i="2" s="1"/>
  <c r="B288" i="2" s="1"/>
  <c r="G287" i="2"/>
  <c r="H287" i="2" s="1"/>
  <c r="H286" i="2"/>
  <c r="D288" i="2" l="1"/>
  <c r="E288" i="2" s="1"/>
  <c r="F288" i="2" s="1"/>
  <c r="B289" i="2" s="1"/>
  <c r="G288" i="2"/>
  <c r="D289" i="2" l="1"/>
  <c r="E289" i="2" s="1"/>
  <c r="F289" i="2" s="1"/>
  <c r="B290" i="2" s="1"/>
  <c r="G289" i="2"/>
  <c r="H289" i="2" s="1"/>
  <c r="H288" i="2"/>
  <c r="D290" i="2" l="1"/>
  <c r="E290" i="2" s="1"/>
  <c r="F290" i="2" s="1"/>
  <c r="B291" i="2" s="1"/>
  <c r="G290" i="2"/>
  <c r="D291" i="2" l="1"/>
  <c r="E291" i="2" s="1"/>
  <c r="F291" i="2" s="1"/>
  <c r="B292" i="2" s="1"/>
  <c r="G291" i="2"/>
  <c r="H291" i="2" s="1"/>
  <c r="H290" i="2"/>
  <c r="D292" i="2" l="1"/>
  <c r="E292" i="2" s="1"/>
  <c r="F292" i="2" s="1"/>
  <c r="B293" i="2" s="1"/>
  <c r="G292" i="2"/>
  <c r="D293" i="2" l="1"/>
  <c r="E293" i="2" s="1"/>
  <c r="F293" i="2" s="1"/>
  <c r="B294" i="2" s="1"/>
  <c r="G294" i="2" s="1"/>
  <c r="H294" i="2" s="1"/>
  <c r="G293" i="2"/>
  <c r="H293" i="2" s="1"/>
  <c r="H292" i="2"/>
  <c r="D294" i="2" l="1"/>
  <c r="E294" i="2" s="1"/>
  <c r="F294" i="2" s="1"/>
  <c r="B295" i="2" s="1"/>
  <c r="D295" i="2" s="1"/>
  <c r="E295" i="2" s="1"/>
  <c r="F295" i="2" s="1"/>
  <c r="B32" i="3" s="1" a="1"/>
  <c r="B32" i="3" s="1"/>
  <c r="C26" i="4" s="1" a="1"/>
  <c r="C26" i="4" s="1"/>
  <c r="I26" i="4" s="1"/>
  <c r="B27" i="5" s="1"/>
  <c r="G295" i="2"/>
  <c r="H295" i="2" s="1"/>
  <c r="C27" i="5" l="1"/>
  <c r="B296" i="2"/>
  <c r="D296" i="2" l="1"/>
  <c r="E296" i="2" s="1"/>
  <c r="G296" i="2"/>
  <c r="H296" i="2" l="1"/>
  <c r="F296" i="2"/>
  <c r="B297" i="2" s="1"/>
  <c r="D297" i="2" l="1"/>
  <c r="E297" i="2" s="1"/>
  <c r="F297" i="2" s="1"/>
  <c r="B298" i="2" s="1"/>
  <c r="G297" i="2"/>
  <c r="H297" i="2" l="1"/>
  <c r="D298" i="2"/>
  <c r="E298" i="2" s="1"/>
  <c r="F298" i="2" s="1"/>
  <c r="B299" i="2" s="1"/>
  <c r="G298" i="2"/>
  <c r="H298" i="2" s="1"/>
  <c r="D299" i="2" l="1"/>
  <c r="E299" i="2" s="1"/>
  <c r="F299" i="2" s="1"/>
  <c r="B300" i="2" s="1"/>
  <c r="G299" i="2"/>
  <c r="H299" i="2" l="1"/>
  <c r="D300" i="2"/>
  <c r="E300" i="2" s="1"/>
  <c r="F300" i="2" s="1"/>
  <c r="B301" i="2" s="1"/>
  <c r="G300" i="2"/>
  <c r="H300" i="2" s="1"/>
  <c r="D301" i="2" l="1"/>
  <c r="E301" i="2" s="1"/>
  <c r="F301" i="2" s="1"/>
  <c r="B302" i="2" s="1"/>
  <c r="G301" i="2"/>
  <c r="H301" i="2" l="1"/>
  <c r="D302" i="2"/>
  <c r="E302" i="2" s="1"/>
  <c r="F302" i="2" s="1"/>
  <c r="B303" i="2" s="1"/>
  <c r="G302" i="2"/>
  <c r="H302" i="2" s="1"/>
  <c r="D303" i="2" l="1"/>
  <c r="E303" i="2" s="1"/>
  <c r="F303" i="2" s="1"/>
  <c r="B304" i="2" s="1"/>
  <c r="G303" i="2"/>
  <c r="H303" i="2" l="1"/>
  <c r="D304" i="2"/>
  <c r="E304" i="2" s="1"/>
  <c r="F304" i="2" s="1"/>
  <c r="B305" i="2" s="1"/>
  <c r="G304" i="2"/>
  <c r="H304" i="2" s="1"/>
  <c r="D305" i="2" l="1"/>
  <c r="E305" i="2" s="1"/>
  <c r="F305" i="2" s="1"/>
  <c r="B306" i="2" s="1"/>
  <c r="G305" i="2"/>
  <c r="H305" i="2" s="1"/>
  <c r="D306" i="2" l="1"/>
  <c r="E306" i="2" s="1"/>
  <c r="F306" i="2" s="1"/>
  <c r="B307" i="2" s="1"/>
  <c r="G306" i="2"/>
  <c r="H306" i="2" s="1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D307" i="2" l="1"/>
  <c r="G307" i="2"/>
  <c r="D9" i="3"/>
  <c r="D10" i="3"/>
  <c r="D11" i="3"/>
  <c r="D12" i="3"/>
  <c r="F12" i="3" s="1"/>
  <c r="F6" i="4" s="1" a="1"/>
  <c r="F6" i="4" s="1"/>
  <c r="H6" i="4" s="1"/>
  <c r="G7" i="5" s="1"/>
  <c r="D13" i="3"/>
  <c r="F13" i="3" s="1"/>
  <c r="F7" i="4" s="1" a="1"/>
  <c r="F7" i="4" s="1"/>
  <c r="H7" i="4" s="1"/>
  <c r="G8" i="5" s="1"/>
  <c r="D14" i="3"/>
  <c r="F14" i="3" s="1"/>
  <c r="F8" i="4" s="1" a="1"/>
  <c r="F8" i="4" s="1"/>
  <c r="H8" i="4" s="1"/>
  <c r="G9" i="5" s="1"/>
  <c r="D15" i="3"/>
  <c r="F15" i="3" s="1"/>
  <c r="F9" i="4" s="1" a="1"/>
  <c r="F9" i="4" s="1"/>
  <c r="H9" i="4" s="1"/>
  <c r="G10" i="5" s="1"/>
  <c r="D16" i="3"/>
  <c r="F16" i="3" s="1"/>
  <c r="F10" i="4" s="1" a="1"/>
  <c r="F10" i="4" s="1"/>
  <c r="H10" i="4" s="1"/>
  <c r="G11" i="5" s="1"/>
  <c r="D17" i="3"/>
  <c r="F17" i="3" s="1"/>
  <c r="F11" i="4" s="1" a="1"/>
  <c r="F11" i="4" s="1"/>
  <c r="H11" i="4" s="1"/>
  <c r="G12" i="5" s="1"/>
  <c r="D18" i="3"/>
  <c r="F18" i="3" s="1"/>
  <c r="F12" i="4" s="1" a="1"/>
  <c r="F12" i="4" s="1"/>
  <c r="H12" i="4" s="1"/>
  <c r="G13" i="5" s="1"/>
  <c r="D19" i="3"/>
  <c r="F19" i="3" s="1"/>
  <c r="F13" i="4" s="1" a="1"/>
  <c r="F13" i="4" s="1"/>
  <c r="H13" i="4" s="1"/>
  <c r="G14" i="5" s="1"/>
  <c r="D20" i="3"/>
  <c r="F20" i="3" s="1"/>
  <c r="F14" i="4" s="1" a="1"/>
  <c r="F14" i="4" s="1"/>
  <c r="H14" i="4" s="1"/>
  <c r="G15" i="5" s="1"/>
  <c r="D21" i="3"/>
  <c r="F21" i="3" s="1"/>
  <c r="F15" i="4" s="1" a="1"/>
  <c r="F15" i="4" s="1"/>
  <c r="H15" i="4" s="1"/>
  <c r="G16" i="5" s="1"/>
  <c r="D22" i="3"/>
  <c r="F22" i="3" s="1"/>
  <c r="F16" i="4" s="1" a="1"/>
  <c r="F16" i="4" s="1"/>
  <c r="H16" i="4" s="1"/>
  <c r="G17" i="5" s="1"/>
  <c r="D23" i="3"/>
  <c r="F23" i="3" s="1"/>
  <c r="F17" i="4" s="1" a="1"/>
  <c r="F17" i="4" s="1"/>
  <c r="H17" i="4" s="1"/>
  <c r="G18" i="5" s="1"/>
  <c r="D24" i="3"/>
  <c r="F24" i="3" s="1"/>
  <c r="F18" i="4" s="1" a="1"/>
  <c r="F18" i="4" s="1"/>
  <c r="H18" i="4" s="1"/>
  <c r="G19" i="5" s="1"/>
  <c r="D25" i="3"/>
  <c r="D26" i="3"/>
  <c r="D27" i="3"/>
  <c r="F27" i="3" s="1"/>
  <c r="F21" i="4" s="1" a="1"/>
  <c r="F21" i="4" s="1"/>
  <c r="H21" i="4" s="1"/>
  <c r="G22" i="5" s="1"/>
  <c r="D28" i="3"/>
  <c r="F28" i="3" s="1"/>
  <c r="F22" i="4" s="1" a="1"/>
  <c r="F22" i="4" s="1"/>
  <c r="H22" i="4" s="1"/>
  <c r="G23" i="5" s="1"/>
  <c r="D29" i="3"/>
  <c r="D30" i="3"/>
  <c r="D31" i="3"/>
  <c r="F31" i="3" s="1"/>
  <c r="F25" i="4" s="1" a="1"/>
  <c r="F25" i="4" s="1"/>
  <c r="H25" i="4" s="1"/>
  <c r="G26" i="5" s="1"/>
  <c r="D32" i="3"/>
  <c r="F11" i="3"/>
  <c r="F5" i="4" s="1" a="1"/>
  <c r="F5" i="4" s="1"/>
  <c r="H5" i="4" s="1"/>
  <c r="G6" i="5" s="1"/>
  <c r="F26" i="3"/>
  <c r="F20" i="4" s="1" a="1"/>
  <c r="F20" i="4" s="1"/>
  <c r="H20" i="4" s="1"/>
  <c r="G21" i="5" s="1"/>
  <c r="F10" i="3"/>
  <c r="F4" i="4" s="1" a="1"/>
  <c r="F4" i="4" s="1"/>
  <c r="H4" i="4" s="1"/>
  <c r="G5" i="5" s="1"/>
  <c r="F25" i="3"/>
  <c r="F19" i="4" s="1" a="1"/>
  <c r="F19" i="4" s="1"/>
  <c r="H19" i="4" s="1"/>
  <c r="G20" i="5" s="1"/>
  <c r="F9" i="3"/>
  <c r="F3" i="4" s="1" a="1"/>
  <c r="F3" i="4" s="1"/>
  <c r="H3" i="4" s="1"/>
  <c r="G4" i="5" l="1"/>
  <c r="G8" i="1" s="1"/>
  <c r="G3" i="1"/>
  <c r="D3" i="1" s="1"/>
  <c r="H307" i="2"/>
  <c r="E29" i="3"/>
  <c r="F29" i="3" s="1"/>
  <c r="F23" i="4" s="1" a="1"/>
  <c r="F23" i="4" s="1"/>
  <c r="H23" i="4" s="1"/>
  <c r="G24" i="5" s="1"/>
  <c r="E30" i="3"/>
  <c r="F30" i="3" s="1"/>
  <c r="F24" i="4" s="1" a="1"/>
  <c r="F24" i="4" s="1"/>
  <c r="H24" i="4" s="1"/>
  <c r="G25" i="5" s="1"/>
  <c r="E32" i="3"/>
  <c r="F32" i="3" s="1"/>
  <c r="F26" i="4" s="1" a="1"/>
  <c r="F26" i="4" s="1"/>
  <c r="H26" i="4" s="1"/>
  <c r="G27" i="5" s="1"/>
  <c r="E33" i="3"/>
  <c r="C33" i="3"/>
  <c r="E307" i="2"/>
  <c r="D4" i="5"/>
  <c r="F307" i="2" l="1"/>
  <c r="B33" i="3" s="1" a="1"/>
  <c r="B33" i="3" s="1"/>
  <c r="C27" i="4" s="1" a="1"/>
  <c r="C27" i="4" s="1"/>
  <c r="I27" i="4" s="1"/>
  <c r="B28" i="5" s="1"/>
  <c r="D33" i="3"/>
  <c r="F33" i="3" s="1"/>
  <c r="F27" i="4" s="1" a="1"/>
  <c r="F27" i="4" s="1"/>
  <c r="H27" i="4" s="1"/>
  <c r="G28" i="5" s="1"/>
  <c r="K4" i="5"/>
  <c r="D5" i="5"/>
  <c r="E4" i="5"/>
  <c r="F4" i="5" s="1"/>
  <c r="C28" i="5" l="1"/>
  <c r="L4" i="5"/>
  <c r="M4" i="5" s="1"/>
  <c r="N4" i="5" s="1"/>
  <c r="T4" i="5"/>
  <c r="G7" i="1"/>
  <c r="H5" i="5"/>
  <c r="I5" i="5" s="1"/>
  <c r="J5" i="5" s="1"/>
  <c r="K5" i="5" s="1"/>
  <c r="Q5" i="5"/>
  <c r="R5" i="5" s="1"/>
  <c r="S5" i="5" s="1"/>
  <c r="T5" i="5" s="1"/>
  <c r="D6" i="5"/>
  <c r="E5" i="5"/>
  <c r="F5" i="5" s="1"/>
  <c r="U5" i="5" l="1"/>
  <c r="V5" i="5" s="1"/>
  <c r="U4" i="5"/>
  <c r="V4" i="5" s="1"/>
  <c r="W4" i="5" s="1"/>
  <c r="L5" i="5"/>
  <c r="M5" i="5" s="1"/>
  <c r="N5" i="5" s="1"/>
  <c r="W5" i="5" s="1"/>
  <c r="H6" i="5"/>
  <c r="I6" i="5" s="1"/>
  <c r="J6" i="5" s="1"/>
  <c r="K6" i="5" s="1"/>
  <c r="Q6" i="5"/>
  <c r="D7" i="5"/>
  <c r="E6" i="5"/>
  <c r="F6" i="5" s="1"/>
  <c r="L6" i="5" l="1"/>
  <c r="M6" i="5" s="1"/>
  <c r="N6" i="5" s="1"/>
  <c r="H7" i="5"/>
  <c r="I7" i="5" s="1"/>
  <c r="J7" i="5" s="1"/>
  <c r="K7" i="5" s="1"/>
  <c r="R6" i="5"/>
  <c r="S6" i="5" s="1"/>
  <c r="T6" i="5" s="1"/>
  <c r="D8" i="5"/>
  <c r="E7" i="5"/>
  <c r="F7" i="5" s="1"/>
  <c r="U6" i="5" l="1"/>
  <c r="V6" i="5" s="1"/>
  <c r="W6" i="5" s="1"/>
  <c r="L7" i="5"/>
  <c r="M7" i="5" s="1"/>
  <c r="N7" i="5" s="1"/>
  <c r="H8" i="5"/>
  <c r="I8" i="5" s="1"/>
  <c r="J8" i="5" s="1"/>
  <c r="K8" i="5" s="1"/>
  <c r="Q7" i="5"/>
  <c r="R7" i="5" s="1"/>
  <c r="S7" i="5" s="1"/>
  <c r="T7" i="5" s="1"/>
  <c r="D9" i="5"/>
  <c r="E8" i="5"/>
  <c r="F8" i="5" s="1"/>
  <c r="U7" i="5" l="1"/>
  <c r="V7" i="5" s="1"/>
  <c r="W7" i="5" s="1"/>
  <c r="L8" i="5"/>
  <c r="M8" i="5" s="1"/>
  <c r="N8" i="5" s="1"/>
  <c r="H9" i="5"/>
  <c r="I9" i="5" s="1"/>
  <c r="J9" i="5" s="1"/>
  <c r="K9" i="5" s="1"/>
  <c r="Q8" i="5"/>
  <c r="R8" i="5" s="1"/>
  <c r="S8" i="5" s="1"/>
  <c r="T8" i="5" s="1"/>
  <c r="D10" i="5"/>
  <c r="E9" i="5"/>
  <c r="F9" i="5" s="1"/>
  <c r="J6" i="1" l="1"/>
  <c r="U8" i="5"/>
  <c r="V8" i="5" s="1"/>
  <c r="W8" i="5" s="1"/>
  <c r="L9" i="5"/>
  <c r="M9" i="5" s="1"/>
  <c r="N9" i="5" s="1"/>
  <c r="J7" i="1"/>
  <c r="H10" i="5"/>
  <c r="I10" i="5" s="1"/>
  <c r="J10" i="5" s="1"/>
  <c r="K10" i="5" s="1"/>
  <c r="Q9" i="5"/>
  <c r="R9" i="5" s="1"/>
  <c r="S9" i="5" s="1"/>
  <c r="T9" i="5" s="1"/>
  <c r="D11" i="5"/>
  <c r="E10" i="5"/>
  <c r="F10" i="5" s="1"/>
  <c r="U9" i="5" l="1"/>
  <c r="V9" i="5" s="1"/>
  <c r="W9" i="5" s="1"/>
  <c r="L10" i="5"/>
  <c r="M10" i="5" s="1"/>
  <c r="N10" i="5" s="1"/>
  <c r="H11" i="5"/>
  <c r="I11" i="5" s="1"/>
  <c r="J11" i="5" s="1"/>
  <c r="K11" i="5" s="1"/>
  <c r="Q10" i="5"/>
  <c r="D12" i="5"/>
  <c r="E11" i="5"/>
  <c r="F11" i="5" s="1"/>
  <c r="L11" i="5" l="1"/>
  <c r="M11" i="5" s="1"/>
  <c r="N11" i="5" s="1"/>
  <c r="H12" i="5"/>
  <c r="I12" i="5" s="1"/>
  <c r="J12" i="5" s="1"/>
  <c r="K12" i="5" s="1"/>
  <c r="R10" i="5"/>
  <c r="S10" i="5" s="1"/>
  <c r="T10" i="5" s="1"/>
  <c r="D13" i="5"/>
  <c r="E12" i="5"/>
  <c r="F12" i="5" s="1"/>
  <c r="U10" i="5" l="1"/>
  <c r="V10" i="5" s="1"/>
  <c r="W10" i="5" s="1"/>
  <c r="L12" i="5"/>
  <c r="M12" i="5" s="1"/>
  <c r="N12" i="5" s="1"/>
  <c r="H13" i="5"/>
  <c r="I13" i="5" s="1"/>
  <c r="J13" i="5" s="1"/>
  <c r="K13" i="5" s="1"/>
  <c r="Q11" i="5"/>
  <c r="D14" i="5"/>
  <c r="E13" i="5"/>
  <c r="F13" i="5" s="1"/>
  <c r="L13" i="5" l="1"/>
  <c r="M13" i="5" s="1"/>
  <c r="N13" i="5" s="1"/>
  <c r="H14" i="5"/>
  <c r="R11" i="5"/>
  <c r="S11" i="5" s="1"/>
  <c r="T11" i="5" s="1"/>
  <c r="D15" i="5"/>
  <c r="E14" i="5"/>
  <c r="F14" i="5" s="1"/>
  <c r="L6" i="1" l="1"/>
  <c r="U11" i="5"/>
  <c r="V11" i="5"/>
  <c r="W11" i="5" s="1"/>
  <c r="I14" i="5"/>
  <c r="J14" i="5" s="1"/>
  <c r="K14" i="5" s="1"/>
  <c r="Q12" i="5"/>
  <c r="D16" i="5"/>
  <c r="E15" i="5"/>
  <c r="F15" i="5" s="1"/>
  <c r="L14" i="5" l="1"/>
  <c r="M14" i="5" s="1"/>
  <c r="N14" i="5" s="1"/>
  <c r="H15" i="5"/>
  <c r="I15" i="5" s="1"/>
  <c r="J15" i="5" s="1"/>
  <c r="K15" i="5" s="1"/>
  <c r="R12" i="5"/>
  <c r="S12" i="5" s="1"/>
  <c r="T12" i="5" s="1"/>
  <c r="D17" i="5"/>
  <c r="E16" i="5"/>
  <c r="F16" i="5" s="1"/>
  <c r="U12" i="5" l="1"/>
  <c r="V12" i="5"/>
  <c r="W12" i="5" s="1"/>
  <c r="L15" i="5"/>
  <c r="M15" i="5" s="1"/>
  <c r="N15" i="5" s="1"/>
  <c r="H16" i="5"/>
  <c r="Q13" i="5"/>
  <c r="R13" i="5" s="1"/>
  <c r="S13" i="5" s="1"/>
  <c r="T13" i="5" s="1"/>
  <c r="D18" i="5"/>
  <c r="E17" i="5"/>
  <c r="F17" i="5" s="1"/>
  <c r="U13" i="5" l="1"/>
  <c r="V13" i="5" s="1"/>
  <c r="W13" i="5" s="1"/>
  <c r="L7" i="1"/>
  <c r="I16" i="5"/>
  <c r="J16" i="5" s="1"/>
  <c r="K16" i="5" s="1"/>
  <c r="Q14" i="5"/>
  <c r="R14" i="5" s="1"/>
  <c r="S14" i="5" s="1"/>
  <c r="T14" i="5" s="1"/>
  <c r="D19" i="5"/>
  <c r="E18" i="5"/>
  <c r="F18" i="5" s="1"/>
  <c r="U14" i="5" l="1"/>
  <c r="V14" i="5"/>
  <c r="W14" i="5" s="1"/>
  <c r="L16" i="5"/>
  <c r="M16" i="5" s="1"/>
  <c r="N16" i="5" s="1"/>
  <c r="H17" i="5"/>
  <c r="I17" i="5" s="1"/>
  <c r="J17" i="5" s="1"/>
  <c r="K17" i="5" s="1"/>
  <c r="Q15" i="5"/>
  <c r="R15" i="5" s="1"/>
  <c r="S15" i="5" s="1"/>
  <c r="T15" i="5" s="1"/>
  <c r="D20" i="5"/>
  <c r="E19" i="5"/>
  <c r="F19" i="5" s="1"/>
  <c r="U15" i="5" l="1"/>
  <c r="V15" i="5" s="1"/>
  <c r="W15" i="5" s="1"/>
  <c r="L17" i="5"/>
  <c r="M17" i="5" s="1"/>
  <c r="N17" i="5" s="1"/>
  <c r="H18" i="5"/>
  <c r="I18" i="5" s="1"/>
  <c r="J18" i="5" s="1"/>
  <c r="K18" i="5" s="1"/>
  <c r="Q16" i="5"/>
  <c r="R16" i="5" s="1"/>
  <c r="S16" i="5" s="1"/>
  <c r="T16" i="5" s="1"/>
  <c r="D21" i="5"/>
  <c r="E20" i="5"/>
  <c r="F20" i="5" s="1"/>
  <c r="U16" i="5" l="1"/>
  <c r="V16" i="5" s="1"/>
  <c r="W16" i="5" s="1"/>
  <c r="L18" i="5"/>
  <c r="M18" i="5" s="1"/>
  <c r="N18" i="5" s="1"/>
  <c r="H19" i="5"/>
  <c r="I19" i="5" s="1"/>
  <c r="J19" i="5" s="1"/>
  <c r="K19" i="5" s="1"/>
  <c r="Q17" i="5"/>
  <c r="R17" i="5" s="1"/>
  <c r="S17" i="5" s="1"/>
  <c r="T17" i="5" s="1"/>
  <c r="D22" i="5"/>
  <c r="E21" i="5"/>
  <c r="F21" i="5" s="1"/>
  <c r="U17" i="5" l="1"/>
  <c r="V17" i="5" s="1"/>
  <c r="W17" i="5" s="1"/>
  <c r="L19" i="5"/>
  <c r="M19" i="5" s="1"/>
  <c r="N19" i="5" s="1"/>
  <c r="H20" i="5"/>
  <c r="I20" i="5" s="1"/>
  <c r="J20" i="5" s="1"/>
  <c r="K20" i="5" s="1"/>
  <c r="Q18" i="5"/>
  <c r="D23" i="5"/>
  <c r="E22" i="5"/>
  <c r="F22" i="5" s="1"/>
  <c r="L20" i="5" l="1"/>
  <c r="M20" i="5" s="1"/>
  <c r="N20" i="5" s="1"/>
  <c r="H21" i="5"/>
  <c r="R18" i="5"/>
  <c r="S18" i="5" s="1"/>
  <c r="T18" i="5" s="1"/>
  <c r="D24" i="5"/>
  <c r="E23" i="5"/>
  <c r="F23" i="5" s="1"/>
  <c r="U18" i="5" l="1"/>
  <c r="V18" i="5" s="1"/>
  <c r="W18" i="5" s="1"/>
  <c r="I21" i="5"/>
  <c r="J21" i="5" s="1"/>
  <c r="K21" i="5" s="1"/>
  <c r="Q19" i="5"/>
  <c r="D25" i="5"/>
  <c r="E24" i="5"/>
  <c r="F24" i="5" s="1"/>
  <c r="L21" i="5" l="1"/>
  <c r="M21" i="5" s="1"/>
  <c r="N21" i="5" s="1"/>
  <c r="H22" i="5"/>
  <c r="R19" i="5"/>
  <c r="S19" i="5" s="1"/>
  <c r="T19" i="5" s="1"/>
  <c r="D26" i="5"/>
  <c r="E25" i="5"/>
  <c r="F25" i="5" s="1"/>
  <c r="U19" i="5" l="1"/>
  <c r="V19" i="5" s="1"/>
  <c r="W19" i="5" s="1"/>
  <c r="I22" i="5"/>
  <c r="J22" i="5" s="1"/>
  <c r="K22" i="5" s="1"/>
  <c r="Q20" i="5"/>
  <c r="R20" i="5" s="1"/>
  <c r="S20" i="5" s="1"/>
  <c r="T20" i="5" s="1"/>
  <c r="D27" i="5"/>
  <c r="E26" i="5"/>
  <c r="F26" i="5" s="1"/>
  <c r="U20" i="5" l="1"/>
  <c r="V20" i="5" s="1"/>
  <c r="W20" i="5" s="1"/>
  <c r="L22" i="5"/>
  <c r="M22" i="5" s="1"/>
  <c r="N22" i="5" s="1"/>
  <c r="H23" i="5"/>
  <c r="I23" i="5" s="1"/>
  <c r="J23" i="5" s="1"/>
  <c r="K23" i="5" s="1"/>
  <c r="Q21" i="5"/>
  <c r="R21" i="5" s="1"/>
  <c r="S21" i="5" s="1"/>
  <c r="T21" i="5" s="1"/>
  <c r="D28" i="5"/>
  <c r="E28" i="5" s="1"/>
  <c r="F28" i="5" s="1"/>
  <c r="E27" i="5"/>
  <c r="F27" i="5" s="1"/>
  <c r="U21" i="5" l="1"/>
  <c r="V21" i="5" s="1"/>
  <c r="W21" i="5" s="1"/>
  <c r="L23" i="5"/>
  <c r="M23" i="5" s="1"/>
  <c r="N23" i="5" s="1"/>
  <c r="H24" i="5"/>
  <c r="Q22" i="5"/>
  <c r="N6" i="1" l="1"/>
  <c r="I24" i="5"/>
  <c r="J24" i="5" s="1"/>
  <c r="K24" i="5" s="1"/>
  <c r="R22" i="5"/>
  <c r="S22" i="5" s="1"/>
  <c r="T22" i="5" s="1"/>
  <c r="U22" i="5" l="1"/>
  <c r="V22" i="5" s="1"/>
  <c r="W22" i="5" s="1"/>
  <c r="L24" i="5"/>
  <c r="M24" i="5" s="1"/>
  <c r="N24" i="5" s="1"/>
  <c r="H25" i="5"/>
  <c r="Q23" i="5"/>
  <c r="I25" i="5" l="1"/>
  <c r="J25" i="5" s="1"/>
  <c r="K25" i="5" s="1"/>
  <c r="R23" i="5"/>
  <c r="S23" i="5" s="1"/>
  <c r="T23" i="5" s="1"/>
  <c r="U23" i="5" l="1"/>
  <c r="V23" i="5" s="1"/>
  <c r="W23" i="5" s="1"/>
  <c r="L25" i="5"/>
  <c r="M25" i="5" s="1"/>
  <c r="N25" i="5" s="1"/>
  <c r="N7" i="1"/>
  <c r="H26" i="5"/>
  <c r="I26" i="5" s="1"/>
  <c r="J26" i="5" s="1"/>
  <c r="K26" i="5" s="1"/>
  <c r="Q24" i="5"/>
  <c r="R24" i="5" s="1"/>
  <c r="S24" i="5" s="1"/>
  <c r="T24" i="5" s="1"/>
  <c r="U24" i="5" l="1"/>
  <c r="V24" i="5" s="1"/>
  <c r="W24" i="5" s="1"/>
  <c r="L26" i="5"/>
  <c r="M26" i="5" s="1"/>
  <c r="N26" i="5" s="1"/>
  <c r="H27" i="5"/>
  <c r="Q25" i="5"/>
  <c r="I27" i="5" l="1"/>
  <c r="J27" i="5" s="1"/>
  <c r="K27" i="5" s="1"/>
  <c r="R25" i="5"/>
  <c r="S25" i="5" s="1"/>
  <c r="T25" i="5" s="1"/>
  <c r="U25" i="5" l="1"/>
  <c r="V25" i="5" s="1"/>
  <c r="W25" i="5" s="1"/>
  <c r="L27" i="5"/>
  <c r="M27" i="5" s="1"/>
  <c r="N27" i="5" s="1"/>
  <c r="H28" i="5"/>
  <c r="I28" i="5" s="1"/>
  <c r="J28" i="5" s="1"/>
  <c r="K28" i="5" s="1"/>
  <c r="Q26" i="5"/>
  <c r="L28" i="5" l="1"/>
  <c r="M28" i="5" s="1"/>
  <c r="N28" i="5" s="1"/>
  <c r="R26" i="5"/>
  <c r="S26" i="5" s="1"/>
  <c r="T26" i="5" s="1"/>
  <c r="U26" i="5" l="1"/>
  <c r="V26" i="5" s="1"/>
  <c r="W26" i="5" s="1"/>
  <c r="Q27" i="5"/>
  <c r="R27" i="5" l="1"/>
  <c r="S27" i="5" s="1"/>
  <c r="T27" i="5" s="1"/>
  <c r="U27" i="5" l="1"/>
  <c r="V27" i="5" s="1"/>
  <c r="W27" i="5" s="1"/>
  <c r="Q28" i="5"/>
  <c r="R28" i="5" l="1"/>
  <c r="S28" i="5" s="1"/>
  <c r="T28" i="5" s="1"/>
  <c r="U28" i="5" l="1"/>
  <c r="V28" i="5" s="1"/>
  <c r="W2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<sst xmlns="http://schemas.openxmlformats.org/spreadsheetml/2006/main" count="92" uniqueCount="81">
  <si>
    <t>Prix net vendeur</t>
  </si>
  <si>
    <t>Frais de notaire</t>
  </si>
  <si>
    <t>Frais d'agence</t>
  </si>
  <si>
    <t>Travaux</t>
  </si>
  <si>
    <t>Frais d'acquisition bancaire</t>
  </si>
  <si>
    <t>COUTS D'ACQUISITION PROJET</t>
  </si>
  <si>
    <t>Apport</t>
  </si>
  <si>
    <t>Dettes</t>
  </si>
  <si>
    <t>Durée</t>
  </si>
  <si>
    <t>Taux</t>
  </si>
  <si>
    <t>Assurance emprunteur</t>
  </si>
  <si>
    <t>Mois</t>
  </si>
  <si>
    <t xml:space="preserve">CRD début de mois </t>
  </si>
  <si>
    <t>Mensualité de crédit</t>
  </si>
  <si>
    <t>Intérêt du mois</t>
  </si>
  <si>
    <t>Capital amorti</t>
  </si>
  <si>
    <t>CRD fin de mois</t>
  </si>
  <si>
    <t>Assurance du mois</t>
  </si>
  <si>
    <t>Mensualité totale</t>
  </si>
  <si>
    <t>Capital emprunté</t>
  </si>
  <si>
    <t>Taux de crédit annuel</t>
  </si>
  <si>
    <t>Durée (année)</t>
  </si>
  <si>
    <t>Taux assurance annuel</t>
  </si>
  <si>
    <t>Mensualité de crédit fixe</t>
  </si>
  <si>
    <t>CRD fin d'année</t>
  </si>
  <si>
    <t>Intérêts payés dans l'année</t>
  </si>
  <si>
    <t>Capital amorti dans l'année</t>
  </si>
  <si>
    <t>Assurance payée dans l'année</t>
  </si>
  <si>
    <t>Total payé dans l'annéee</t>
  </si>
  <si>
    <t>Charges de copro annuelles</t>
  </si>
  <si>
    <t>Taxe foncière</t>
  </si>
  <si>
    <t>Revalorisation annuelle du bien</t>
  </si>
  <si>
    <t>Revalorisation annuelle Taxe foncière</t>
  </si>
  <si>
    <t>Année</t>
  </si>
  <si>
    <t>Valeur du bien</t>
  </si>
  <si>
    <t>Charges copro</t>
  </si>
  <si>
    <t>Intérêts+Capital+Assurance</t>
  </si>
  <si>
    <t>Charges annuelles totales</t>
  </si>
  <si>
    <t>Total déboursé annuel</t>
  </si>
  <si>
    <t>Patrimoine net immobilier</t>
  </si>
  <si>
    <t>Valeur réelle estimée du bien à l'achat en année 0 post-travaux</t>
  </si>
  <si>
    <t>Cash net si revente</t>
  </si>
  <si>
    <t>Cumul décaissé depuis achat</t>
  </si>
  <si>
    <t>Gain/Perte cash pur</t>
  </si>
  <si>
    <t>Aide</t>
  </si>
  <si>
    <t>Frais de revente</t>
  </si>
  <si>
    <t>Loyer annuel</t>
  </si>
  <si>
    <t>Revalorisation annuelle charges copro</t>
  </si>
  <si>
    <t>Revalorisation annuelle des loyers en tant que locataire</t>
  </si>
  <si>
    <t>Capital début année</t>
  </si>
  <si>
    <t>Rendement</t>
  </si>
  <si>
    <t>Capital avant versement</t>
  </si>
  <si>
    <t>Capital après versement</t>
  </si>
  <si>
    <t>Ecart achat vs location</t>
  </si>
  <si>
    <t>ACHAT</t>
  </si>
  <si>
    <t>COMPARATIF</t>
  </si>
  <si>
    <t>LOCATION</t>
  </si>
  <si>
    <t>Surplus propriétaire</t>
  </si>
  <si>
    <t>Capital début (proprio)</t>
  </si>
  <si>
    <t>Patrimoine total achat</t>
  </si>
  <si>
    <t>Loyer en tant que locataire</t>
  </si>
  <si>
    <t>Patrimoine 5 ans</t>
  </si>
  <si>
    <t>Achat</t>
  </si>
  <si>
    <t>Location</t>
  </si>
  <si>
    <t>Patrimoine 10 ans</t>
  </si>
  <si>
    <t>Patrimoine 20 ans</t>
  </si>
  <si>
    <t>Enveloppe globale mensuelle pour logement + épargne</t>
  </si>
  <si>
    <t>Surplus locataire investi</t>
  </si>
  <si>
    <t>GAP des mensualités vs le loyer locataire</t>
  </si>
  <si>
    <t>Epargne mensuelle investie par les locataires(an 1)</t>
  </si>
  <si>
    <t>Epargne mensuelle investie par les propriétaire (an 1)</t>
  </si>
  <si>
    <t>Mensualité (crédit + assurance)</t>
  </si>
  <si>
    <t>Coût total mensualisé propriétaire</t>
  </si>
  <si>
    <t>Capital inital disponible</t>
  </si>
  <si>
    <t>Ancien</t>
  </si>
  <si>
    <t>Rendement brut  en bourse</t>
  </si>
  <si>
    <t>Fiscalité sur les plus-values à la sortie</t>
  </si>
  <si>
    <t>Impôt latent achat</t>
  </si>
  <si>
    <t>Capital net d'impôt achat</t>
  </si>
  <si>
    <t>Impôt latent location</t>
  </si>
  <si>
    <t>Capital net d'impôt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</si>
</sst>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164" formatCode="#,##0\ &quot;€&quot;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10" fontId="0" fillId="0" borderId="0" xfId="0" applyNumberFormat="1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/>
    <xf numFmtId="164" fontId="0" fillId="0" borderId="0" xfId="1" applyNumberFormat="1" applyFont="1"/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10" fontId="0" fillId="0" borderId="0" xfId="1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Ecart</a:t>
            </a:r>
            <a:r>
              <a:rPr lang="fr-FR" baseline="0"/>
              <a:t> patrimoniaux entre l'achat et la location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EA72E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Bilan_Revente!$A$4:$A$28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Bilan_Revente!$W$4:$W$28</c:f>
              <c:numCache>
                <c:formatCode>#\ ##0\ "€"</c:formatCode>
                <c:ptCount val="25"/>
                <c:pt idx="0">
                  <c:v>801.96961597603513</c:v>
                </c:pt>
                <c:pt idx="1">
                  <c:v>4255.3309813718079</c:v>
                </c:pt>
                <c:pt idx="2">
                  <c:v>7845.7252846976626</c:v>
                </c:pt>
                <c:pt idx="3">
                  <c:v>11569.972922020068</c:v>
                </c:pt>
                <c:pt idx="4">
                  <c:v>15424.454018036369</c:v>
                </c:pt>
                <c:pt idx="5">
                  <c:v>19405.077162736561</c:v>
                </c:pt>
                <c:pt idx="6">
                  <c:v>23507.246263457462</c:v>
                </c:pt>
                <c:pt idx="7">
                  <c:v>27725.825406750082</c:v>
                </c:pt>
                <c:pt idx="8">
                  <c:v>32055.10161877959</c:v>
                </c:pt>
                <c:pt idx="9">
                  <c:v>36488.74540701916</c:v>
                </c:pt>
                <c:pt idx="10">
                  <c:v>41019.7689596829</c:v>
                </c:pt>
                <c:pt idx="11">
                  <c:v>45640.481872731005</c:v>
                </c:pt>
                <c:pt idx="12">
                  <c:v>50342.444267302519</c:v>
                </c:pt>
                <c:pt idx="13">
                  <c:v>55116.41715309897</c:v>
                </c:pt>
                <c:pt idx="14">
                  <c:v>59952.309885512688</c:v>
                </c:pt>
                <c:pt idx="15">
                  <c:v>64839.124556177296</c:v>
                </c:pt>
                <c:pt idx="16">
                  <c:v>69764.897148062591</c:v>
                </c:pt>
                <c:pt idx="17">
                  <c:v>74716.635277243215</c:v>
                </c:pt>
                <c:pt idx="18">
                  <c:v>79680.252334004035</c:v>
                </c:pt>
                <c:pt idx="19">
                  <c:v>84640.497825984028</c:v>
                </c:pt>
                <c:pt idx="20">
                  <c:v>89107.665712943068</c:v>
                </c:pt>
                <c:pt idx="21">
                  <c:v>93441.481637971709</c:v>
                </c:pt>
                <c:pt idx="22">
                  <c:v>97631.710899410537</c:v>
                </c:pt>
                <c:pt idx="23">
                  <c:v>101667.57138948189</c:v>
                </c:pt>
                <c:pt idx="24">
                  <c:v>105537.70586727257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59A-47C4-8002-7AEC6AEB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456320"/>
        <c:axId val="607457280"/>
      </c:barChart>
      <c:catAx>
        <c:axId val="60745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7457280"/>
        <c:crosses val="autoZero"/>
        <c:auto val="1"/>
        <c:lblAlgn val="ctr"/>
        <c:lblOffset val="100"/>
        <c:noMultiLvlLbl val="0"/>
      </c:catAx>
      <c:valAx>
        <c:axId val="607457280"/>
        <c:scaling>
          <c:orientation val="minMax"/>
        </c:scaling>
        <c:delete val="1"/>
        <c:axPos val="l"/>
        <c:numFmt formatCode="#\ ##0\ &quot;€&quot;" sourceLinked="1"/>
        <c:majorTickMark val="none"/>
        <c:minorTickMark val="none"/>
        <c:tickLblPos val="nextTo"/>
        <c:crossAx val="60745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patrimoines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Patrimoine propriétaire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Bilan_Revente!$A$4:$A$28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Bilan_Revente!$N$4:$N$28</c:f>
              <c:numCache>
                <c:formatCode>#\ ##0\ "€"</c:formatCode>
                <c:ptCount val="25"/>
                <c:pt idx="0">
                  <c:v>229261.96961597604</c:v>
                </c:pt>
                <c:pt idx="1">
                  <c:v>262067.21098137181</c:v>
                </c:pt>
                <c:pt idx="2">
                  <c:v>295947.05368469772</c:v>
                </c:pt>
                <c:pt idx="3">
                  <c:v>330946.30188602011</c:v>
                </c:pt>
                <c:pt idx="4">
                  <c:v>367111.7297156764</c:v>
                </c:pt>
                <c:pt idx="5">
                  <c:v>404492.170633553</c:v>
                </c:pt>
                <c:pt idx="6">
                  <c:v>443138.6109359921</c:v>
                </c:pt>
                <c:pt idx="7">
                  <c:v>483104.28760637052</c:v>
                </c:pt>
                <c:pt idx="8">
                  <c:v>524444.79071477475</c:v>
                </c:pt>
                <c:pt idx="9">
                  <c:v>567218.17058207176</c:v>
                </c:pt>
                <c:pt idx="10">
                  <c:v>611485.04993398837</c:v>
                </c:pt>
                <c:pt idx="11">
                  <c:v>657308.74128165701</c:v>
                </c:pt>
                <c:pt idx="12">
                  <c:v>704755.36977643915</c:v>
                </c:pt>
                <c:pt idx="13">
                  <c:v>753894.00179875433</c:v>
                </c:pt>
                <c:pt idx="14">
                  <c:v>804796.77955312328</c:v>
                </c:pt>
                <c:pt idx="15">
                  <c:v>857539.06195473764</c:v>
                </c:pt>
                <c:pt idx="16">
                  <c:v>912199.57210659597</c:v>
                </c:pt>
                <c:pt idx="17">
                  <c:v>968860.5516806487</c:v>
                </c:pt>
                <c:pt idx="18">
                  <c:v>1027607.9225314946</c:v>
                </c:pt>
                <c:pt idx="19">
                  <c:v>1088531.4558870031</c:v>
                </c:pt>
                <c:pt idx="20">
                  <c:v>1151251.7314742035</c:v>
                </c:pt>
                <c:pt idx="21">
                  <c:v>1216244.2880824578</c:v>
                </c:pt>
                <c:pt idx="22">
                  <c:v>1283620.5080352351</c:v>
                </c:pt>
                <c:pt idx="23">
                  <c:v>1353497.3204549029</c:v>
                </c:pt>
                <c:pt idx="24">
                  <c:v>1425997.478379498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09-4AE5-8149-C840B9725351}"/>
            </c:ext>
          </c:extLst>
        </c:ser>
        <c:ser>
          <c:idx val="1"/>
          <c:order val="1"/>
          <c:tx>
            <c:v>Patrimoine locataire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Bilan_Revente!$A$4:$A$28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Bilan_Revente!$T$4:$T$28</c:f>
              <c:numCache>
                <c:formatCode>#\ ##0\ "€"</c:formatCode>
                <c:ptCount val="25"/>
                <c:pt idx="0">
                  <c:v>231600</c:v>
                </c:pt>
                <c:pt idx="1">
                  <c:v>264588</c:v>
                </c:pt>
                <c:pt idx="2">
                  <c:v>299031.48000000004</c:v>
                </c:pt>
                <c:pt idx="3">
                  <c:v>335001.27480000007</c:v>
                </c:pt>
                <c:pt idx="4">
                  <c:v>372571.74154800008</c:v>
                </c:pt>
                <c:pt idx="5">
                  <c:v>411820.93566348008</c:v>
                </c:pt>
                <c:pt idx="6">
                  <c:v>452830.79555511486</c:v>
                </c:pt>
                <c:pt idx="7">
                  <c:v>495687.33657241601</c:v>
                </c:pt>
                <c:pt idx="8">
                  <c:v>540480.85465297766</c:v>
                </c:pt>
                <c:pt idx="9">
                  <c:v>587306.14015008684</c:v>
                </c:pt>
                <c:pt idx="10">
                  <c:v>636262.70234969608</c:v>
                </c:pt>
                <c:pt idx="11">
                  <c:v>687455.00521120685</c:v>
                </c:pt>
                <c:pt idx="12">
                  <c:v>740992.71489323338</c:v>
                </c:pt>
                <c:pt idx="13">
                  <c:v>796990.9596535759</c:v>
                </c:pt>
                <c:pt idx="14">
                  <c:v>855570.60274209233</c:v>
                </c:pt>
                <c:pt idx="15">
                  <c:v>916858.52893609297</c:v>
                </c:pt>
                <c:pt idx="16">
                  <c:v>980987.9454003626</c:v>
                </c:pt>
                <c:pt idx="17">
                  <c:v>1048098.6975880204</c:v>
                </c:pt>
                <c:pt idx="18">
                  <c:v>1118337.6009342375</c:v>
                </c:pt>
                <c:pt idx="19">
                  <c:v>1191858.7891324335</c:v>
                </c:pt>
                <c:pt idx="20">
                  <c:v>1268824.0798220541</c:v>
                </c:pt>
                <c:pt idx="21">
                  <c:v>1349403.358558486</c:v>
                </c:pt>
                <c:pt idx="22">
                  <c:v>1433774.9819791927</c:v>
                </c:pt>
                <c:pt idx="23">
                  <c:v>1522126.2011258625</c:v>
                </c:pt>
                <c:pt idx="24">
                  <c:v>1614653.605930343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9-4AE5-8149-C840B9725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909760"/>
        <c:axId val="1207918400"/>
      </c:lineChart>
      <c:catAx>
        <c:axId val="12079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918400"/>
        <c:crosses val="autoZero"/>
        <c:auto val="1"/>
        <c:lblAlgn val="ctr"/>
        <c:lblOffset val="100"/>
        <c:noMultiLvlLbl val="0"/>
      </c:catAx>
      <c:valAx>
        <c:axId val="12079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9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752474</xdr:colOff>
      <xdr:row>13</xdr:row>
      <xdr:rowOff>38099</xdr:rowOff>
    </xdr:from>
    <xdr:to>
      <xdr:col>15</xdr:col>
      <xdr:colOff>476250</xdr:colOff>
      <xdr:row>35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787D046-E9B9-4414-815B-E9BBE092A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36</xdr:row>
      <xdr:rowOff>9524</xdr:rowOff>
    </xdr:from>
    <xdr:to>
      <xdr:col>15</xdr:col>
      <xdr:colOff>485775</xdr:colOff>
      <xdr:row>55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6C0864-BE18-487B-A631-D5F10ECA6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DA28-1D91-4BB7-A018-1C3C94CD5F66}">
  <dimension ref="B2:N29"/>
  <sheetViews>
    <sheetView tabSelected="1" workbookViewId="0">
      <selection activeCell="U28" sqref="U28"/>
    </sheetView>
  </sheetViews>
  <sheetFormatPr baseColWidth="10" defaultRowHeight="15" x14ac:dyDescent="0.25"/>
  <cols>
    <col min="2" max="2" width="59.85546875" customWidth="1"/>
    <col min="3" max="3" width="13.140625" customWidth="1"/>
    <col min="6" max="6" width="50.28515625" customWidth="1"/>
    <col min="7" max="7" width="12.42578125" customWidth="1"/>
    <col min="9" max="9" width="16.140625" customWidth="1"/>
    <col min="10" max="10" width="14.7109375" customWidth="1"/>
    <col min="12" max="12" width="14.5703125" customWidth="1"/>
    <col min="13" max="13" width="12.85546875" customWidth="1"/>
    <col min="14" max="14" width="17.140625" customWidth="1"/>
  </cols>
  <sheetData>
    <row r="2" spans="2:14" x14ac:dyDescent="0.25">
      <c r="B2" s="16" t="s">
        <v>73</v>
      </c>
      <c r="C2" s="17">
        <v>200000</v>
      </c>
      <c r="J2" s="13"/>
    </row>
    <row r="3" spans="2:14" x14ac:dyDescent="0.25">
      <c r="B3" s="16" t="s">
        <v>66</v>
      </c>
      <c r="C3" s="17">
        <v>3400</v>
      </c>
      <c r="D3" s="15" t="str">
        <f>IF(C3&lt;G3,"WARNING ! Veuillez augmenter votre enveloppe globale mensuelle du projet","")</f>
        <v/>
      </c>
      <c r="F3" t="s">
        <v>72</v>
      </c>
      <c r="G3" s="1">
        <f>FLux_Achat_RP!H3/12</f>
        <v>2633.9134396927989</v>
      </c>
      <c r="J3" s="13"/>
    </row>
    <row r="4" spans="2:14" x14ac:dyDescent="0.25">
      <c r="J4" s="13"/>
    </row>
    <row r="5" spans="2:14" x14ac:dyDescent="0.25">
      <c r="B5" t="s">
        <v>0</v>
      </c>
      <c r="C5" s="1">
        <v>420000</v>
      </c>
      <c r="F5" t="s">
        <v>71</v>
      </c>
      <c r="G5" s="4">
        <f>Amortissement_prêt!H8</f>
        <v>2384.7190309632651</v>
      </c>
      <c r="I5" s="18" t="s">
        <v>61</v>
      </c>
      <c r="J5" s="18"/>
      <c r="K5" s="18" t="s">
        <v>64</v>
      </c>
      <c r="L5" s="18"/>
      <c r="M5" s="18" t="s">
        <v>65</v>
      </c>
      <c r="N5" s="18"/>
    </row>
    <row r="6" spans="2:14" x14ac:dyDescent="0.25">
      <c r="B6" t="s">
        <v>1</v>
      </c>
      <c r="C6" s="1">
        <f>(MIN(C5,6500)*3.87%+MAX(MIN(C5,17000)-6500,0)*1.596%+MAX(MIN(C5,60000)-17000,0)*1.064%+MAX(C5-60000,0)*0.799%)*1.2
+C5*IF(D6="Neuf",0.71498%,5.80665%)
+C5*0.1%
+1200</f>
        <v>30511.59</v>
      </c>
      <c r="D6" t="s">
        <v>74</v>
      </c>
      <c r="F6" t="s">
        <v>68</v>
      </c>
      <c r="G6" s="1">
        <f>Amortissement_prêt!H8-Bilan_Revente!O4/12</f>
        <v>784.71903096326514</v>
      </c>
      <c r="I6" s="5" t="s">
        <v>62</v>
      </c>
      <c r="J6" s="6">
        <f>Bilan_Revente!N8</f>
        <v>367111.7297156764</v>
      </c>
      <c r="K6" s="5" t="s">
        <v>62</v>
      </c>
      <c r="L6" s="6">
        <f>Bilan_Revente!N13</f>
        <v>567218.17058207176</v>
      </c>
      <c r="M6" s="5" t="s">
        <v>62</v>
      </c>
      <c r="N6" s="6">
        <f>Bilan_Revente!N23</f>
        <v>1088531.4558870031</v>
      </c>
    </row>
    <row r="7" spans="2:14" x14ac:dyDescent="0.25">
      <c r="B7" t="s">
        <v>2</v>
      </c>
      <c r="C7" s="1">
        <v>0</v>
      </c>
      <c r="F7" t="s">
        <v>69</v>
      </c>
      <c r="G7" s="1">
        <f>Bilan_Revente!P4/12</f>
        <v>1800</v>
      </c>
      <c r="I7" s="5" t="s">
        <v>63</v>
      </c>
      <c r="J7" s="6">
        <f>Bilan_Revente!T8</f>
        <v>372571.74154800008</v>
      </c>
      <c r="K7" s="5" t="s">
        <v>63</v>
      </c>
      <c r="L7" s="6">
        <f>Bilan_Revente!T13</f>
        <v>587306.14015008684</v>
      </c>
      <c r="M7" s="5" t="s">
        <v>63</v>
      </c>
      <c r="N7" s="6">
        <f>Bilan_Revente!T23</f>
        <v>1191858.7891324335</v>
      </c>
    </row>
    <row r="8" spans="2:14" x14ac:dyDescent="0.25">
      <c r="B8" t="s">
        <v>3</v>
      </c>
      <c r="C8" s="1">
        <v>50000</v>
      </c>
      <c r="F8" t="s">
        <v>70</v>
      </c>
      <c r="G8" s="1">
        <f>Bilan_Revente!G4/12</f>
        <v>766.08656030720101</v>
      </c>
    </row>
    <row r="9" spans="2:14" x14ac:dyDescent="0.25">
      <c r="B9" t="s">
        <v>4</v>
      </c>
      <c r="C9" s="1">
        <v>2000</v>
      </c>
    </row>
    <row r="10" spans="2:14" x14ac:dyDescent="0.25">
      <c r="B10" t="s">
        <v>5</v>
      </c>
      <c r="C10" s="1">
        <f>SUM(C5:C9)</f>
        <v>502511.59</v>
      </c>
    </row>
    <row r="11" spans="2:14" x14ac:dyDescent="0.25">
      <c r="C11" s="1"/>
    </row>
    <row r="12" spans="2:14" x14ac:dyDescent="0.25">
      <c r="B12" t="s">
        <v>40</v>
      </c>
      <c r="C12" s="1">
        <v>500000</v>
      </c>
    </row>
    <row r="13" spans="2:14" x14ac:dyDescent="0.25">
      <c r="C13" s="1"/>
    </row>
    <row r="14" spans="2:14" x14ac:dyDescent="0.25">
      <c r="B14" t="s">
        <v>6</v>
      </c>
      <c r="C14" s="1">
        <v>100000</v>
      </c>
    </row>
    <row r="15" spans="2:14" x14ac:dyDescent="0.25">
      <c r="B15" t="s">
        <v>7</v>
      </c>
      <c r="C15" s="1">
        <f>C10-C14</f>
        <v>402511.59</v>
      </c>
    </row>
    <row r="16" spans="2:14" x14ac:dyDescent="0.25">
      <c r="B16" t="s">
        <v>8</v>
      </c>
      <c r="C16">
        <v>20</v>
      </c>
    </row>
    <row r="17" spans="2:3" x14ac:dyDescent="0.25">
      <c r="B17" t="s">
        <v>9</v>
      </c>
      <c r="C17" s="2">
        <v>3.5000000000000003E-2</v>
      </c>
    </row>
    <row r="18" spans="2:3" x14ac:dyDescent="0.25">
      <c r="B18" t="s">
        <v>10</v>
      </c>
      <c r="C18" s="2">
        <v>1.5E-3</v>
      </c>
    </row>
    <row r="20" spans="2:3" x14ac:dyDescent="0.25">
      <c r="B20" t="s">
        <v>29</v>
      </c>
      <c r="C20">
        <v>1500</v>
      </c>
    </row>
    <row r="21" spans="2:3" x14ac:dyDescent="0.25">
      <c r="B21" t="s">
        <v>30</v>
      </c>
      <c r="C21">
        <v>1500</v>
      </c>
    </row>
    <row r="22" spans="2:3" x14ac:dyDescent="0.25">
      <c r="B22" t="s">
        <v>31</v>
      </c>
      <c r="C22" s="2">
        <v>0.01</v>
      </c>
    </row>
    <row r="23" spans="2:3" x14ac:dyDescent="0.25">
      <c r="B23" t="s">
        <v>32</v>
      </c>
      <c r="C23" s="14">
        <v>0.01</v>
      </c>
    </row>
    <row r="24" spans="2:3" x14ac:dyDescent="0.25">
      <c r="B24" t="s">
        <v>47</v>
      </c>
      <c r="C24" s="14">
        <v>0.01</v>
      </c>
    </row>
    <row r="26" spans="2:3" x14ac:dyDescent="0.25">
      <c r="B26" t="s">
        <v>60</v>
      </c>
      <c r="C26" s="8">
        <v>1600</v>
      </c>
    </row>
    <row r="27" spans="2:3" x14ac:dyDescent="0.25">
      <c r="B27" t="s">
        <v>48</v>
      </c>
      <c r="C27" s="7">
        <v>0.01</v>
      </c>
    </row>
    <row r="28" spans="2:3" x14ac:dyDescent="0.25">
      <c r="B28" t="s">
        <v>75</v>
      </c>
      <c r="C28" s="2">
        <v>0.05</v>
      </c>
    </row>
    <row r="29" spans="2:3" x14ac:dyDescent="0.25">
      <c r="B29" t="s">
        <v>76</v>
      </c>
      <c r="C29" s="21">
        <v>0.314</v>
      </c>
    </row>
  </sheetData>
  <mergeCells count="3">
    <mergeCell ref="I5:J5"/>
    <mergeCell ref="K5:L5"/>
    <mergeCell ref="M5:N5"/>
  </mergeCells>
  <dataValidations count="1">
    <dataValidation type="list" showInputMessage="1" showErrorMessage="1" sqref="D6" xr:uid="{5AEF7E4A-1908-4717-93B7-DF34B324F53F}">
      <formula1>"Ancien,Neuf"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9646-2976-4240-914F-F035BD72FF87}">
  <dimension ref="A1:H307"/>
  <sheetViews>
    <sheetView zoomScaleNormal="100" workbookViewId="0">
      <selection activeCell="H8" sqref="H8"/>
    </sheetView>
  </sheetViews>
  <sheetFormatPr baseColWidth="10" defaultRowHeight="15" x14ac:dyDescent="0.25"/>
  <cols>
    <col min="1" max="1" width="9.140625" customWidth="1"/>
    <col min="2" max="2" width="24.28515625" customWidth="1"/>
    <col min="3" max="3" width="19.5703125" customWidth="1"/>
    <col min="4" max="4" width="14.140625" bestFit="1" customWidth="1"/>
    <col min="5" max="5" width="13.5703125" bestFit="1" customWidth="1"/>
    <col min="6" max="6" width="14.7109375" bestFit="1" customWidth="1"/>
    <col min="7" max="7" width="18" bestFit="1" customWidth="1"/>
    <col min="8" max="8" width="16.28515625" bestFit="1" customWidth="1"/>
  </cols>
  <sheetData>
    <row r="1" spans="1:8" x14ac:dyDescent="0.25">
      <c r="B1" t="s">
        <v>19</v>
      </c>
      <c r="C1" s="1">
        <f>Projet!C15</f>
        <v>402511.59</v>
      </c>
    </row>
    <row r="2" spans="1:8" x14ac:dyDescent="0.25">
      <c r="B2" t="s">
        <v>20</v>
      </c>
      <c r="C2" s="2">
        <f>Projet!C17</f>
        <v>3.5000000000000003E-2</v>
      </c>
    </row>
    <row r="3" spans="1:8" x14ac:dyDescent="0.25">
      <c r="B3" t="s">
        <v>21</v>
      </c>
      <c r="C3">
        <f>Projet!C16</f>
        <v>20</v>
      </c>
    </row>
    <row r="4" spans="1:8" x14ac:dyDescent="0.25">
      <c r="B4" t="s">
        <v>22</v>
      </c>
      <c r="C4" s="2">
        <f>Projet!C18</f>
        <v>1.5E-3</v>
      </c>
    </row>
    <row r="5" spans="1:8" x14ac:dyDescent="0.25">
      <c r="B5" t="s">
        <v>23</v>
      </c>
      <c r="C5" s="4">
        <f>-PMT(C2/12,C3*12,C1)</f>
        <v>2334.4050822132654</v>
      </c>
    </row>
    <row r="6" spans="1:8" x14ac:dyDescent="0.25">
      <c r="C6" s="3"/>
    </row>
    <row r="7" spans="1:8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</row>
    <row r="8" spans="1:8" x14ac:dyDescent="0.25">
      <c r="A8">
        <v>1</v>
      </c>
      <c r="B8" s="1">
        <f>C1</f>
        <v>402511.59</v>
      </c>
      <c r="C8" s="4">
        <f>IF(A8&lt;=$C$3*12,$C$5,0)</f>
        <v>2334.4050822132654</v>
      </c>
      <c r="D8" s="1">
        <f>B8*$C$2/12</f>
        <v>1173.9921375000001</v>
      </c>
      <c r="E8" s="4">
        <f t="shared" ref="E8" si="0">IF(C8-D8&lt;0,0,C8-D8)</f>
        <v>1160.4129447132652</v>
      </c>
      <c r="F8" s="1">
        <f>MAX(B8-E8,0)</f>
        <v>401351.17705528677</v>
      </c>
      <c r="G8" s="1">
        <f>IF(A8&lt;=$C$3*12,B8*$C$4/12,0)</f>
        <v>50.313948750000009</v>
      </c>
      <c r="H8" s="4">
        <f>C8+G8</f>
        <v>2384.7190309632651</v>
      </c>
    </row>
    <row r="9" spans="1:8" x14ac:dyDescent="0.25">
      <c r="A9">
        <f>A8+1</f>
        <v>2</v>
      </c>
      <c r="B9" s="1">
        <f>F8</f>
        <v>401351.17705528677</v>
      </c>
      <c r="C9" s="4">
        <f t="shared" ref="C9:C72" si="1">IF(A9&lt;=$C$3*12,$C$5,0)</f>
        <v>2334.4050822132654</v>
      </c>
      <c r="D9" s="1">
        <f t="shared" ref="D9:D72" si="2">B9*$C$2/12</f>
        <v>1170.6075997445867</v>
      </c>
      <c r="E9" s="4">
        <f>IF(C9-D9&lt;0,0,C9-D9)</f>
        <v>1163.7974824686787</v>
      </c>
      <c r="F9" s="1">
        <f t="shared" ref="F9:F72" si="3">MAX(B9-E9,0)</f>
        <v>400187.37957281811</v>
      </c>
      <c r="G9" s="1">
        <f t="shared" ref="G9:G72" si="4">IF(A9&lt;=$C$3*12,B9*$C$4/12,0)</f>
        <v>50.168897131910846</v>
      </c>
      <c r="H9" s="4">
        <f t="shared" ref="H9:H72" si="5">C9+G9</f>
        <v>2384.5739793451762</v>
      </c>
    </row>
    <row r="10" spans="1:8" x14ac:dyDescent="0.25">
      <c r="A10">
        <f t="shared" ref="A10:A73" si="6">A9+1</f>
        <v>3</v>
      </c>
      <c r="B10" s="1">
        <f t="shared" ref="B10:B73" si="7">F9</f>
        <v>400187.37957281811</v>
      </c>
      <c r="C10" s="4">
        <f t="shared" si="1"/>
        <v>2334.4050822132654</v>
      </c>
      <c r="D10" s="1">
        <f t="shared" si="2"/>
        <v>1167.2131904207197</v>
      </c>
      <c r="E10" s="4">
        <f t="shared" ref="E10:E73" si="8">IF(C10-D10&lt;0,0,C10-D10)</f>
        <v>1167.1918917925457</v>
      </c>
      <c r="F10" s="1">
        <f t="shared" si="3"/>
        <v>399020.18768102559</v>
      </c>
      <c r="G10" s="1">
        <f t="shared" si="4"/>
        <v>50.023422446602268</v>
      </c>
      <c r="H10" s="4">
        <f t="shared" si="5"/>
        <v>2384.4285046598675</v>
      </c>
    </row>
    <row r="11" spans="1:8" x14ac:dyDescent="0.25">
      <c r="A11">
        <f t="shared" si="6"/>
        <v>4</v>
      </c>
      <c r="B11" s="1">
        <f t="shared" si="7"/>
        <v>399020.18768102559</v>
      </c>
      <c r="C11" s="4">
        <f t="shared" si="1"/>
        <v>2334.4050822132654</v>
      </c>
      <c r="D11" s="1">
        <f t="shared" si="2"/>
        <v>1163.8088807363247</v>
      </c>
      <c r="E11" s="4">
        <f t="shared" si="8"/>
        <v>1170.5962014769407</v>
      </c>
      <c r="F11" s="1">
        <f t="shared" si="3"/>
        <v>397849.59147954866</v>
      </c>
      <c r="G11" s="1">
        <f t="shared" si="4"/>
        <v>49.877523460128202</v>
      </c>
      <c r="H11" s="4">
        <f t="shared" si="5"/>
        <v>2384.2826056733934</v>
      </c>
    </row>
    <row r="12" spans="1:8" x14ac:dyDescent="0.25">
      <c r="A12">
        <f t="shared" si="6"/>
        <v>5</v>
      </c>
      <c r="B12" s="1">
        <f t="shared" si="7"/>
        <v>397849.59147954866</v>
      </c>
      <c r="C12" s="4">
        <f t="shared" si="1"/>
        <v>2334.4050822132654</v>
      </c>
      <c r="D12" s="1">
        <f t="shared" si="2"/>
        <v>1160.3946418153503</v>
      </c>
      <c r="E12" s="4">
        <f t="shared" si="8"/>
        <v>1174.0104403979151</v>
      </c>
      <c r="F12" s="1">
        <f t="shared" si="3"/>
        <v>396675.58103915077</v>
      </c>
      <c r="G12" s="1">
        <f t="shared" si="4"/>
        <v>49.731198934943585</v>
      </c>
      <c r="H12" s="4">
        <f t="shared" si="5"/>
        <v>2384.136281148209</v>
      </c>
    </row>
    <row r="13" spans="1:8" x14ac:dyDescent="0.25">
      <c r="A13">
        <f t="shared" si="6"/>
        <v>6</v>
      </c>
      <c r="B13" s="1">
        <f t="shared" si="7"/>
        <v>396675.58103915077</v>
      </c>
      <c r="C13" s="4">
        <f t="shared" si="1"/>
        <v>2334.4050822132654</v>
      </c>
      <c r="D13" s="1">
        <f t="shared" si="2"/>
        <v>1156.9704446975231</v>
      </c>
      <c r="E13" s="4">
        <f t="shared" si="8"/>
        <v>1177.4346375157422</v>
      </c>
      <c r="F13" s="1">
        <f t="shared" si="3"/>
        <v>395498.14640163502</v>
      </c>
      <c r="G13" s="1">
        <f t="shared" si="4"/>
        <v>49.584447629893845</v>
      </c>
      <c r="H13" s="4">
        <f t="shared" si="5"/>
        <v>2383.9895298431593</v>
      </c>
    </row>
    <row r="14" spans="1:8" x14ac:dyDescent="0.25">
      <c r="A14">
        <f t="shared" si="6"/>
        <v>7</v>
      </c>
      <c r="B14" s="1">
        <f t="shared" si="7"/>
        <v>395498.14640163502</v>
      </c>
      <c r="C14" s="4">
        <f t="shared" si="1"/>
        <v>2334.4050822132654</v>
      </c>
      <c r="D14" s="1">
        <f t="shared" si="2"/>
        <v>1153.5362603381022</v>
      </c>
      <c r="E14" s="4">
        <f t="shared" si="8"/>
        <v>1180.8688218751631</v>
      </c>
      <c r="F14" s="1">
        <f t="shared" si="3"/>
        <v>394317.27757975983</v>
      </c>
      <c r="G14" s="1">
        <f t="shared" si="4"/>
        <v>49.43726830020438</v>
      </c>
      <c r="H14" s="4">
        <f t="shared" si="5"/>
        <v>2383.8423505134697</v>
      </c>
    </row>
    <row r="15" spans="1:8" x14ac:dyDescent="0.25">
      <c r="A15">
        <f t="shared" si="6"/>
        <v>8</v>
      </c>
      <c r="B15" s="1">
        <f t="shared" si="7"/>
        <v>394317.27757975983</v>
      </c>
      <c r="C15" s="4">
        <f t="shared" si="1"/>
        <v>2334.4050822132654</v>
      </c>
      <c r="D15" s="1">
        <f t="shared" si="2"/>
        <v>1150.092059607633</v>
      </c>
      <c r="E15" s="4">
        <f t="shared" si="8"/>
        <v>1184.3130226056323</v>
      </c>
      <c r="F15" s="1">
        <f t="shared" si="3"/>
        <v>393132.96455715422</v>
      </c>
      <c r="G15" s="1">
        <f t="shared" si="4"/>
        <v>49.289659697469979</v>
      </c>
      <c r="H15" s="4">
        <f t="shared" si="5"/>
        <v>2383.6947419107355</v>
      </c>
    </row>
    <row r="16" spans="1:8" x14ac:dyDescent="0.25">
      <c r="A16">
        <f t="shared" si="6"/>
        <v>9</v>
      </c>
      <c r="B16" s="1">
        <f t="shared" si="7"/>
        <v>393132.96455715422</v>
      </c>
      <c r="C16" s="4">
        <f t="shared" si="1"/>
        <v>2334.4050822132654</v>
      </c>
      <c r="D16" s="1">
        <f t="shared" si="2"/>
        <v>1146.6378132917</v>
      </c>
      <c r="E16" s="4">
        <f t="shared" si="8"/>
        <v>1187.7672689215653</v>
      </c>
      <c r="F16" s="1">
        <f t="shared" si="3"/>
        <v>391945.19728823268</v>
      </c>
      <c r="G16" s="1">
        <f t="shared" si="4"/>
        <v>49.141620569644282</v>
      </c>
      <c r="H16" s="4">
        <f t="shared" si="5"/>
        <v>2383.5467027829095</v>
      </c>
    </row>
    <row r="17" spans="1:8" x14ac:dyDescent="0.25">
      <c r="A17">
        <f t="shared" si="6"/>
        <v>10</v>
      </c>
      <c r="B17" s="1">
        <f t="shared" si="7"/>
        <v>391945.19728823268</v>
      </c>
      <c r="C17" s="4">
        <f t="shared" si="1"/>
        <v>2334.4050822132654</v>
      </c>
      <c r="D17" s="1">
        <f t="shared" si="2"/>
        <v>1143.1734920906788</v>
      </c>
      <c r="E17" s="4">
        <f t="shared" si="8"/>
        <v>1191.2315901225866</v>
      </c>
      <c r="F17" s="1">
        <f t="shared" si="3"/>
        <v>390753.96569811011</v>
      </c>
      <c r="G17" s="1">
        <f t="shared" si="4"/>
        <v>48.993149661029086</v>
      </c>
      <c r="H17" s="4">
        <f t="shared" si="5"/>
        <v>2383.3982318742947</v>
      </c>
    </row>
    <row r="18" spans="1:8" x14ac:dyDescent="0.25">
      <c r="A18">
        <f t="shared" si="6"/>
        <v>11</v>
      </c>
      <c r="B18" s="1">
        <f t="shared" si="7"/>
        <v>390753.96569811011</v>
      </c>
      <c r="C18" s="4">
        <f t="shared" si="1"/>
        <v>2334.4050822132654</v>
      </c>
      <c r="D18" s="1">
        <f t="shared" si="2"/>
        <v>1139.6990666194879</v>
      </c>
      <c r="E18" s="4">
        <f t="shared" si="8"/>
        <v>1194.7060155937775</v>
      </c>
      <c r="F18" s="1">
        <f t="shared" si="3"/>
        <v>389559.25968251633</v>
      </c>
      <c r="G18" s="1">
        <f t="shared" si="4"/>
        <v>48.844245712263763</v>
      </c>
      <c r="H18" s="4">
        <f t="shared" si="5"/>
        <v>2383.2493279255291</v>
      </c>
    </row>
    <row r="19" spans="1:8" x14ac:dyDescent="0.25">
      <c r="A19">
        <f t="shared" si="6"/>
        <v>12</v>
      </c>
      <c r="B19" s="1">
        <f t="shared" si="7"/>
        <v>389559.25968251633</v>
      </c>
      <c r="C19" s="4">
        <f t="shared" si="1"/>
        <v>2334.4050822132654</v>
      </c>
      <c r="D19" s="1">
        <f t="shared" si="2"/>
        <v>1136.2145074073394</v>
      </c>
      <c r="E19" s="4">
        <f t="shared" si="8"/>
        <v>1198.190574805926</v>
      </c>
      <c r="F19" s="1">
        <f t="shared" si="3"/>
        <v>388361.06910771038</v>
      </c>
      <c r="G19" s="1">
        <f t="shared" si="4"/>
        <v>48.694907460314539</v>
      </c>
      <c r="H19" s="4">
        <f t="shared" si="5"/>
        <v>2383.0999896735798</v>
      </c>
    </row>
    <row r="20" spans="1:8" x14ac:dyDescent="0.25">
      <c r="A20">
        <f t="shared" si="6"/>
        <v>13</v>
      </c>
      <c r="B20" s="1">
        <f t="shared" si="7"/>
        <v>388361.06910771038</v>
      </c>
      <c r="C20" s="4">
        <f t="shared" si="1"/>
        <v>2334.4050822132654</v>
      </c>
      <c r="D20" s="1">
        <f t="shared" si="2"/>
        <v>1132.7197848974886</v>
      </c>
      <c r="E20" s="4">
        <f t="shared" si="8"/>
        <v>1201.6852973157768</v>
      </c>
      <c r="F20" s="1">
        <f t="shared" si="3"/>
        <v>387159.38381039462</v>
      </c>
      <c r="G20" s="1">
        <f t="shared" si="4"/>
        <v>48.545133638463795</v>
      </c>
      <c r="H20" s="4">
        <f t="shared" si="5"/>
        <v>2382.9502158517294</v>
      </c>
    </row>
    <row r="21" spans="1:8" x14ac:dyDescent="0.25">
      <c r="A21">
        <f t="shared" si="6"/>
        <v>14</v>
      </c>
      <c r="B21" s="1">
        <f t="shared" si="7"/>
        <v>387159.38381039462</v>
      </c>
      <c r="C21" s="4">
        <f t="shared" si="1"/>
        <v>2334.4050822132654</v>
      </c>
      <c r="D21" s="1">
        <f t="shared" si="2"/>
        <v>1129.2148694469845</v>
      </c>
      <c r="E21" s="4">
        <f t="shared" si="8"/>
        <v>1205.1902127662809</v>
      </c>
      <c r="F21" s="1">
        <f t="shared" si="3"/>
        <v>385954.19359762833</v>
      </c>
      <c r="G21" s="1">
        <f t="shared" si="4"/>
        <v>48.394922976299334</v>
      </c>
      <c r="H21" s="4">
        <f t="shared" si="5"/>
        <v>2382.8000051895647</v>
      </c>
    </row>
    <row r="22" spans="1:8" x14ac:dyDescent="0.25">
      <c r="A22">
        <f t="shared" si="6"/>
        <v>15</v>
      </c>
      <c r="B22" s="1">
        <f t="shared" si="7"/>
        <v>385954.19359762833</v>
      </c>
      <c r="C22" s="4">
        <f t="shared" si="1"/>
        <v>2334.4050822132654</v>
      </c>
      <c r="D22" s="1">
        <f t="shared" si="2"/>
        <v>1125.6997313264162</v>
      </c>
      <c r="E22" s="4">
        <f t="shared" si="8"/>
        <v>1208.7053508868491</v>
      </c>
      <c r="F22" s="1">
        <f t="shared" si="3"/>
        <v>384745.48824674147</v>
      </c>
      <c r="G22" s="1">
        <f t="shared" si="4"/>
        <v>48.24427419970354</v>
      </c>
      <c r="H22" s="4">
        <f t="shared" si="5"/>
        <v>2382.6493564129687</v>
      </c>
    </row>
    <row r="23" spans="1:8" x14ac:dyDescent="0.25">
      <c r="A23">
        <f t="shared" si="6"/>
        <v>16</v>
      </c>
      <c r="B23" s="1">
        <f t="shared" si="7"/>
        <v>384745.48824674147</v>
      </c>
      <c r="C23" s="4">
        <f t="shared" si="1"/>
        <v>2334.4050822132654</v>
      </c>
      <c r="D23" s="1">
        <f t="shared" si="2"/>
        <v>1122.1743407196627</v>
      </c>
      <c r="E23" s="4">
        <f t="shared" si="8"/>
        <v>1212.2307414936026</v>
      </c>
      <c r="F23" s="1">
        <f t="shared" si="3"/>
        <v>383533.25750524789</v>
      </c>
      <c r="G23" s="1">
        <f t="shared" si="4"/>
        <v>48.093186030842681</v>
      </c>
      <c r="H23" s="4">
        <f t="shared" si="5"/>
        <v>2382.4982682441082</v>
      </c>
    </row>
    <row r="24" spans="1:8" x14ac:dyDescent="0.25">
      <c r="A24">
        <f t="shared" si="6"/>
        <v>17</v>
      </c>
      <c r="B24" s="1">
        <f t="shared" si="7"/>
        <v>383533.25750524789</v>
      </c>
      <c r="C24" s="4">
        <f t="shared" si="1"/>
        <v>2334.4050822132654</v>
      </c>
      <c r="D24" s="1">
        <f t="shared" si="2"/>
        <v>1118.6386677236399</v>
      </c>
      <c r="E24" s="4">
        <f t="shared" si="8"/>
        <v>1215.7664144896255</v>
      </c>
      <c r="F24" s="1">
        <f t="shared" si="3"/>
        <v>382317.4910907583</v>
      </c>
      <c r="G24" s="1">
        <f t="shared" si="4"/>
        <v>47.941657188155993</v>
      </c>
      <c r="H24" s="4">
        <f t="shared" si="5"/>
        <v>2382.3467394014215</v>
      </c>
    </row>
    <row r="25" spans="1:8" x14ac:dyDescent="0.25">
      <c r="A25">
        <f t="shared" si="6"/>
        <v>18</v>
      </c>
      <c r="B25" s="1">
        <f t="shared" si="7"/>
        <v>382317.4910907583</v>
      </c>
      <c r="C25" s="4">
        <f t="shared" si="1"/>
        <v>2334.4050822132654</v>
      </c>
      <c r="D25" s="1">
        <f t="shared" si="2"/>
        <v>1115.0926823480452</v>
      </c>
      <c r="E25" s="4">
        <f t="shared" si="8"/>
        <v>1219.3123998652202</v>
      </c>
      <c r="F25" s="1">
        <f t="shared" si="3"/>
        <v>381098.17869089305</v>
      </c>
      <c r="G25" s="1">
        <f t="shared" si="4"/>
        <v>47.789686386344783</v>
      </c>
      <c r="H25" s="4">
        <f t="shared" si="5"/>
        <v>2382.1947685996101</v>
      </c>
    </row>
    <row r="26" spans="1:8" x14ac:dyDescent="0.25">
      <c r="A26">
        <f t="shared" si="6"/>
        <v>19</v>
      </c>
      <c r="B26" s="1">
        <f t="shared" si="7"/>
        <v>381098.17869089305</v>
      </c>
      <c r="C26" s="4">
        <f t="shared" si="1"/>
        <v>2334.4050822132654</v>
      </c>
      <c r="D26" s="1">
        <f t="shared" si="2"/>
        <v>1111.5363545151049</v>
      </c>
      <c r="E26" s="4">
        <f t="shared" si="8"/>
        <v>1222.8687276981605</v>
      </c>
      <c r="F26" s="1">
        <f t="shared" si="3"/>
        <v>379875.30996319489</v>
      </c>
      <c r="G26" s="1">
        <f t="shared" si="4"/>
        <v>47.637272336361633</v>
      </c>
      <c r="H26" s="4">
        <f t="shared" si="5"/>
        <v>2382.0423545496269</v>
      </c>
    </row>
    <row r="27" spans="1:8" x14ac:dyDescent="0.25">
      <c r="A27">
        <f t="shared" si="6"/>
        <v>20</v>
      </c>
      <c r="B27" s="1">
        <f t="shared" si="7"/>
        <v>379875.30996319489</v>
      </c>
      <c r="C27" s="4">
        <f t="shared" si="1"/>
        <v>2334.4050822132654</v>
      </c>
      <c r="D27" s="1">
        <f t="shared" si="2"/>
        <v>1107.9696540593184</v>
      </c>
      <c r="E27" s="4">
        <f t="shared" si="8"/>
        <v>1226.435428153947</v>
      </c>
      <c r="F27" s="1">
        <f t="shared" si="3"/>
        <v>378648.87453504093</v>
      </c>
      <c r="G27" s="1">
        <f t="shared" si="4"/>
        <v>47.484413745399365</v>
      </c>
      <c r="H27" s="4">
        <f t="shared" si="5"/>
        <v>2381.8894959586646</v>
      </c>
    </row>
    <row r="28" spans="1:8" x14ac:dyDescent="0.25">
      <c r="A28">
        <f t="shared" si="6"/>
        <v>21</v>
      </c>
      <c r="B28" s="1">
        <f t="shared" si="7"/>
        <v>378648.87453504093</v>
      </c>
      <c r="C28" s="4">
        <f t="shared" si="1"/>
        <v>2334.4050822132654</v>
      </c>
      <c r="D28" s="1">
        <f t="shared" si="2"/>
        <v>1104.3925507272029</v>
      </c>
      <c r="E28" s="4">
        <f t="shared" si="8"/>
        <v>1230.0125314860625</v>
      </c>
      <c r="F28" s="1">
        <f t="shared" si="3"/>
        <v>377418.86200355488</v>
      </c>
      <c r="G28" s="1">
        <f t="shared" si="4"/>
        <v>47.331109316880116</v>
      </c>
      <c r="H28" s="4">
        <f t="shared" si="5"/>
        <v>2381.7361915301453</v>
      </c>
    </row>
    <row r="29" spans="1:8" x14ac:dyDescent="0.25">
      <c r="A29">
        <f t="shared" si="6"/>
        <v>22</v>
      </c>
      <c r="B29" s="1">
        <f t="shared" si="7"/>
        <v>377418.86200355488</v>
      </c>
      <c r="C29" s="4">
        <f t="shared" si="1"/>
        <v>2334.4050822132654</v>
      </c>
      <c r="D29" s="1">
        <f t="shared" si="2"/>
        <v>1100.8050141770352</v>
      </c>
      <c r="E29" s="4">
        <f t="shared" si="8"/>
        <v>1233.6000680362301</v>
      </c>
      <c r="F29" s="1">
        <f t="shared" si="3"/>
        <v>376185.26193551865</v>
      </c>
      <c r="G29" s="1">
        <f t="shared" si="4"/>
        <v>47.177357750444365</v>
      </c>
      <c r="H29" s="4">
        <f t="shared" si="5"/>
        <v>2381.5824399637099</v>
      </c>
    </row>
    <row r="30" spans="1:8" x14ac:dyDescent="0.25">
      <c r="A30">
        <f t="shared" si="6"/>
        <v>23</v>
      </c>
      <c r="B30" s="1">
        <f t="shared" si="7"/>
        <v>376185.26193551865</v>
      </c>
      <c r="C30" s="4">
        <f t="shared" si="1"/>
        <v>2334.4050822132654</v>
      </c>
      <c r="D30" s="1">
        <f t="shared" si="2"/>
        <v>1097.2070139785963</v>
      </c>
      <c r="E30" s="4">
        <f t="shared" si="8"/>
        <v>1237.1980682346691</v>
      </c>
      <c r="F30" s="1">
        <f t="shared" si="3"/>
        <v>374948.06386728399</v>
      </c>
      <c r="G30" s="1">
        <f t="shared" si="4"/>
        <v>47.023157741939833</v>
      </c>
      <c r="H30" s="4">
        <f t="shared" si="5"/>
        <v>2381.4282399552053</v>
      </c>
    </row>
    <row r="31" spans="1:8" x14ac:dyDescent="0.25">
      <c r="A31">
        <f t="shared" si="6"/>
        <v>24</v>
      </c>
      <c r="B31" s="1">
        <f t="shared" si="7"/>
        <v>374948.06386728399</v>
      </c>
      <c r="C31" s="4">
        <f t="shared" si="1"/>
        <v>2334.4050822132654</v>
      </c>
      <c r="D31" s="1">
        <f t="shared" si="2"/>
        <v>1093.5985196129118</v>
      </c>
      <c r="E31" s="4">
        <f t="shared" si="8"/>
        <v>1240.8065626003536</v>
      </c>
      <c r="F31" s="1">
        <f t="shared" si="3"/>
        <v>373707.25730468362</v>
      </c>
      <c r="G31" s="1">
        <f t="shared" si="4"/>
        <v>46.868507983410495</v>
      </c>
      <c r="H31" s="4">
        <f t="shared" si="5"/>
        <v>2381.2735901966757</v>
      </c>
    </row>
    <row r="32" spans="1:8" x14ac:dyDescent="0.25">
      <c r="A32">
        <f t="shared" si="6"/>
        <v>25</v>
      </c>
      <c r="B32" s="1">
        <f t="shared" si="7"/>
        <v>373707.25730468362</v>
      </c>
      <c r="C32" s="4">
        <f t="shared" si="1"/>
        <v>2334.4050822132654</v>
      </c>
      <c r="D32" s="1">
        <f t="shared" si="2"/>
        <v>1089.979500471994</v>
      </c>
      <c r="E32" s="4">
        <f t="shared" si="8"/>
        <v>1244.4255817412713</v>
      </c>
      <c r="F32" s="1">
        <f t="shared" si="3"/>
        <v>372462.83172294236</v>
      </c>
      <c r="G32" s="1">
        <f t="shared" si="4"/>
        <v>46.713407163085456</v>
      </c>
      <c r="H32" s="4">
        <f t="shared" si="5"/>
        <v>2381.1184893763507</v>
      </c>
    </row>
    <row r="33" spans="1:8" x14ac:dyDescent="0.25">
      <c r="A33">
        <f t="shared" si="6"/>
        <v>26</v>
      </c>
      <c r="B33" s="1">
        <f t="shared" si="7"/>
        <v>372462.83172294236</v>
      </c>
      <c r="C33" s="4">
        <f t="shared" si="1"/>
        <v>2334.4050822132654</v>
      </c>
      <c r="D33" s="1">
        <f t="shared" si="2"/>
        <v>1086.3499258585819</v>
      </c>
      <c r="E33" s="4">
        <f t="shared" si="8"/>
        <v>1248.0551563546835</v>
      </c>
      <c r="F33" s="1">
        <f t="shared" si="3"/>
        <v>371214.77656658768</v>
      </c>
      <c r="G33" s="1">
        <f t="shared" si="4"/>
        <v>46.557853965367798</v>
      </c>
      <c r="H33" s="4">
        <f t="shared" si="5"/>
        <v>2380.9629361786333</v>
      </c>
    </row>
    <row r="34" spans="1:8" x14ac:dyDescent="0.25">
      <c r="A34">
        <f t="shared" si="6"/>
        <v>27</v>
      </c>
      <c r="B34" s="1">
        <f t="shared" si="7"/>
        <v>371214.77656658768</v>
      </c>
      <c r="C34" s="4">
        <f t="shared" si="1"/>
        <v>2334.4050822132654</v>
      </c>
      <c r="D34" s="1">
        <f t="shared" si="2"/>
        <v>1082.7097649858808</v>
      </c>
      <c r="E34" s="4">
        <f t="shared" si="8"/>
        <v>1251.6953172273845</v>
      </c>
      <c r="F34" s="1">
        <f t="shared" si="3"/>
        <v>369963.08124936029</v>
      </c>
      <c r="G34" s="1">
        <f t="shared" si="4"/>
        <v>46.401847070823464</v>
      </c>
      <c r="H34" s="4">
        <f t="shared" si="5"/>
        <v>2380.8069292840887</v>
      </c>
    </row>
    <row r="35" spans="1:8" x14ac:dyDescent="0.25">
      <c r="A35">
        <f t="shared" si="6"/>
        <v>28</v>
      </c>
      <c r="B35" s="1">
        <f t="shared" si="7"/>
        <v>369963.08124936029</v>
      </c>
      <c r="C35" s="4">
        <f t="shared" si="1"/>
        <v>2334.4050822132654</v>
      </c>
      <c r="D35" s="1">
        <f t="shared" si="2"/>
        <v>1079.0589869773009</v>
      </c>
      <c r="E35" s="4">
        <f t="shared" si="8"/>
        <v>1255.3460952359644</v>
      </c>
      <c r="F35" s="1">
        <f t="shared" si="3"/>
        <v>368707.73515412433</v>
      </c>
      <c r="G35" s="1">
        <f t="shared" si="4"/>
        <v>46.245385156170038</v>
      </c>
      <c r="H35" s="4">
        <f t="shared" si="5"/>
        <v>2380.6504673694353</v>
      </c>
    </row>
    <row r="36" spans="1:8" x14ac:dyDescent="0.25">
      <c r="A36">
        <f t="shared" si="6"/>
        <v>29</v>
      </c>
      <c r="B36" s="1">
        <f t="shared" si="7"/>
        <v>368707.73515412433</v>
      </c>
      <c r="C36" s="4">
        <f t="shared" si="1"/>
        <v>2334.4050822132654</v>
      </c>
      <c r="D36" s="1">
        <f t="shared" si="2"/>
        <v>1075.397560866196</v>
      </c>
      <c r="E36" s="4">
        <f t="shared" si="8"/>
        <v>1259.0075213470693</v>
      </c>
      <c r="F36" s="1">
        <f t="shared" si="3"/>
        <v>367448.72763277724</v>
      </c>
      <c r="G36" s="1">
        <f t="shared" si="4"/>
        <v>46.088466894265544</v>
      </c>
      <c r="H36" s="4">
        <f t="shared" si="5"/>
        <v>2380.4935491075307</v>
      </c>
    </row>
    <row r="37" spans="1:8" x14ac:dyDescent="0.25">
      <c r="A37">
        <f t="shared" si="6"/>
        <v>30</v>
      </c>
      <c r="B37" s="1">
        <f t="shared" si="7"/>
        <v>367448.72763277724</v>
      </c>
      <c r="C37" s="4">
        <f t="shared" si="1"/>
        <v>2334.4050822132654</v>
      </c>
      <c r="D37" s="1">
        <f t="shared" si="2"/>
        <v>1071.7254555956004</v>
      </c>
      <c r="E37" s="4">
        <f t="shared" si="8"/>
        <v>1262.679626617665</v>
      </c>
      <c r="F37" s="1">
        <f t="shared" si="3"/>
        <v>366186.0480061596</v>
      </c>
      <c r="G37" s="1">
        <f t="shared" si="4"/>
        <v>45.931090954097158</v>
      </c>
      <c r="H37" s="4">
        <f t="shared" si="5"/>
        <v>2380.3361731673626</v>
      </c>
    </row>
    <row r="38" spans="1:8" x14ac:dyDescent="0.25">
      <c r="A38">
        <f t="shared" si="6"/>
        <v>31</v>
      </c>
      <c r="B38" s="1">
        <f t="shared" si="7"/>
        <v>366186.0480061596</v>
      </c>
      <c r="C38" s="4">
        <f t="shared" si="1"/>
        <v>2334.4050822132654</v>
      </c>
      <c r="D38" s="1">
        <f t="shared" si="2"/>
        <v>1068.0426400179656</v>
      </c>
      <c r="E38" s="4">
        <f t="shared" si="8"/>
        <v>1266.3624421952998</v>
      </c>
      <c r="F38" s="1">
        <f t="shared" si="3"/>
        <v>364919.6855639643</v>
      </c>
      <c r="G38" s="1">
        <f t="shared" si="4"/>
        <v>45.773256000769948</v>
      </c>
      <c r="H38" s="4">
        <f t="shared" si="5"/>
        <v>2380.1783382140352</v>
      </c>
    </row>
    <row r="39" spans="1:8" x14ac:dyDescent="0.25">
      <c r="A39">
        <f t="shared" si="6"/>
        <v>32</v>
      </c>
      <c r="B39" s="1">
        <f t="shared" si="7"/>
        <v>364919.6855639643</v>
      </c>
      <c r="C39" s="4">
        <f t="shared" si="1"/>
        <v>2334.4050822132654</v>
      </c>
      <c r="D39" s="1">
        <f t="shared" si="2"/>
        <v>1064.3490828948959</v>
      </c>
      <c r="E39" s="4">
        <f t="shared" si="8"/>
        <v>1270.0559993183695</v>
      </c>
      <c r="F39" s="1">
        <f t="shared" si="3"/>
        <v>363649.62956464593</v>
      </c>
      <c r="G39" s="1">
        <f t="shared" si="4"/>
        <v>45.61496069549554</v>
      </c>
      <c r="H39" s="4">
        <f t="shared" si="5"/>
        <v>2380.0200429087608</v>
      </c>
    </row>
    <row r="40" spans="1:8" x14ac:dyDescent="0.25">
      <c r="A40">
        <f t="shared" si="6"/>
        <v>33</v>
      </c>
      <c r="B40" s="1">
        <f t="shared" si="7"/>
        <v>363649.62956464593</v>
      </c>
      <c r="C40" s="4">
        <f t="shared" si="1"/>
        <v>2334.4050822132654</v>
      </c>
      <c r="D40" s="1">
        <f t="shared" si="2"/>
        <v>1060.644752896884</v>
      </c>
      <c r="E40" s="4">
        <f t="shared" si="8"/>
        <v>1273.7603293163813</v>
      </c>
      <c r="F40" s="1">
        <f t="shared" si="3"/>
        <v>362375.86923532956</v>
      </c>
      <c r="G40" s="1">
        <f t="shared" si="4"/>
        <v>45.45620369558074</v>
      </c>
      <c r="H40" s="4">
        <f t="shared" si="5"/>
        <v>2379.8612859088462</v>
      </c>
    </row>
    <row r="41" spans="1:8" x14ac:dyDescent="0.25">
      <c r="A41">
        <f t="shared" si="6"/>
        <v>34</v>
      </c>
      <c r="B41" s="1">
        <f t="shared" si="7"/>
        <v>362375.86923532956</v>
      </c>
      <c r="C41" s="4">
        <f t="shared" si="1"/>
        <v>2334.4050822132654</v>
      </c>
      <c r="D41" s="1">
        <f t="shared" si="2"/>
        <v>1056.9296186030447</v>
      </c>
      <c r="E41" s="4">
        <f t="shared" si="8"/>
        <v>1277.4754636102207</v>
      </c>
      <c r="F41" s="1">
        <f t="shared" si="3"/>
        <v>361098.39377171936</v>
      </c>
      <c r="G41" s="1">
        <f t="shared" si="4"/>
        <v>45.296983654416202</v>
      </c>
      <c r="H41" s="4">
        <f t="shared" si="5"/>
        <v>2379.7020658676815</v>
      </c>
    </row>
    <row r="42" spans="1:8" x14ac:dyDescent="0.25">
      <c r="A42">
        <f t="shared" si="6"/>
        <v>35</v>
      </c>
      <c r="B42" s="1">
        <f t="shared" si="7"/>
        <v>361098.39377171936</v>
      </c>
      <c r="C42" s="4">
        <f t="shared" si="1"/>
        <v>2334.4050822132654</v>
      </c>
      <c r="D42" s="1">
        <f t="shared" si="2"/>
        <v>1053.2036485008482</v>
      </c>
      <c r="E42" s="4">
        <f t="shared" si="8"/>
        <v>1281.2014337124172</v>
      </c>
      <c r="F42" s="1">
        <f t="shared" si="3"/>
        <v>359817.19233800692</v>
      </c>
      <c r="G42" s="1">
        <f t="shared" si="4"/>
        <v>45.137299221464922</v>
      </c>
      <c r="H42" s="4">
        <f t="shared" si="5"/>
        <v>2379.5423814347305</v>
      </c>
    </row>
    <row r="43" spans="1:8" x14ac:dyDescent="0.25">
      <c r="A43">
        <f t="shared" si="6"/>
        <v>36</v>
      </c>
      <c r="B43" s="1">
        <f t="shared" si="7"/>
        <v>359817.19233800692</v>
      </c>
      <c r="C43" s="4">
        <f t="shared" si="1"/>
        <v>2334.4050822132654</v>
      </c>
      <c r="D43" s="1">
        <f t="shared" si="2"/>
        <v>1049.4668109858537</v>
      </c>
      <c r="E43" s="4">
        <f t="shared" si="8"/>
        <v>1284.9382712274116</v>
      </c>
      <c r="F43" s="1">
        <f t="shared" si="3"/>
        <v>358532.25406677951</v>
      </c>
      <c r="G43" s="1">
        <f t="shared" si="4"/>
        <v>44.977149042250865</v>
      </c>
      <c r="H43" s="4">
        <f t="shared" si="5"/>
        <v>2379.3822312555162</v>
      </c>
    </row>
    <row r="44" spans="1:8" x14ac:dyDescent="0.25">
      <c r="A44">
        <f t="shared" si="6"/>
        <v>37</v>
      </c>
      <c r="B44" s="1">
        <f t="shared" si="7"/>
        <v>358532.25406677951</v>
      </c>
      <c r="C44" s="4">
        <f t="shared" si="1"/>
        <v>2334.4050822132654</v>
      </c>
      <c r="D44" s="1">
        <f t="shared" si="2"/>
        <v>1045.7190743614403</v>
      </c>
      <c r="E44" s="4">
        <f t="shared" si="8"/>
        <v>1288.686007851825</v>
      </c>
      <c r="F44" s="1">
        <f t="shared" si="3"/>
        <v>357243.56805892766</v>
      </c>
      <c r="G44" s="1">
        <f t="shared" si="4"/>
        <v>44.816531758347445</v>
      </c>
      <c r="H44" s="4">
        <f t="shared" si="5"/>
        <v>2379.2216139716129</v>
      </c>
    </row>
    <row r="45" spans="1:8" x14ac:dyDescent="0.25">
      <c r="A45">
        <f t="shared" si="6"/>
        <v>38</v>
      </c>
      <c r="B45" s="1">
        <f t="shared" si="7"/>
        <v>357243.56805892766</v>
      </c>
      <c r="C45" s="4">
        <f t="shared" si="1"/>
        <v>2334.4050822132654</v>
      </c>
      <c r="D45" s="1">
        <f t="shared" si="2"/>
        <v>1041.960406838539</v>
      </c>
      <c r="E45" s="4">
        <f t="shared" si="8"/>
        <v>1292.4446753747263</v>
      </c>
      <c r="F45" s="1">
        <f t="shared" si="3"/>
        <v>355951.12338355294</v>
      </c>
      <c r="G45" s="1">
        <f t="shared" si="4"/>
        <v>44.65544600736596</v>
      </c>
      <c r="H45" s="4">
        <f t="shared" si="5"/>
        <v>2379.0605282206311</v>
      </c>
    </row>
    <row r="46" spans="1:8" x14ac:dyDescent="0.25">
      <c r="A46">
        <f t="shared" si="6"/>
        <v>39</v>
      </c>
      <c r="B46" s="1">
        <f t="shared" si="7"/>
        <v>355951.12338355294</v>
      </c>
      <c r="C46" s="4">
        <f t="shared" si="1"/>
        <v>2334.4050822132654</v>
      </c>
      <c r="D46" s="1">
        <f t="shared" si="2"/>
        <v>1038.1907765353628</v>
      </c>
      <c r="E46" s="4">
        <f t="shared" si="8"/>
        <v>1296.2143056779025</v>
      </c>
      <c r="F46" s="1">
        <f t="shared" si="3"/>
        <v>354654.90907787503</v>
      </c>
      <c r="G46" s="1">
        <f t="shared" si="4"/>
        <v>44.493890422944112</v>
      </c>
      <c r="H46" s="4">
        <f t="shared" si="5"/>
        <v>2378.8989726362097</v>
      </c>
    </row>
    <row r="47" spans="1:8" x14ac:dyDescent="0.25">
      <c r="A47">
        <f t="shared" si="6"/>
        <v>40</v>
      </c>
      <c r="B47" s="1">
        <f t="shared" si="7"/>
        <v>354654.90907787503</v>
      </c>
      <c r="C47" s="4">
        <f t="shared" si="1"/>
        <v>2334.4050822132654</v>
      </c>
      <c r="D47" s="1">
        <f t="shared" si="2"/>
        <v>1034.4101514771355</v>
      </c>
      <c r="E47" s="4">
        <f t="shared" si="8"/>
        <v>1299.9949307361298</v>
      </c>
      <c r="F47" s="1">
        <f t="shared" si="3"/>
        <v>353354.91414713889</v>
      </c>
      <c r="G47" s="1">
        <f t="shared" si="4"/>
        <v>44.331863634734383</v>
      </c>
      <c r="H47" s="4">
        <f t="shared" si="5"/>
        <v>2378.7369458479998</v>
      </c>
    </row>
    <row r="48" spans="1:8" x14ac:dyDescent="0.25">
      <c r="A48">
        <f t="shared" si="6"/>
        <v>41</v>
      </c>
      <c r="B48" s="1">
        <f t="shared" si="7"/>
        <v>353354.91414713889</v>
      </c>
      <c r="C48" s="4">
        <f t="shared" si="1"/>
        <v>2334.4050822132654</v>
      </c>
      <c r="D48" s="1">
        <f t="shared" si="2"/>
        <v>1030.6184995958217</v>
      </c>
      <c r="E48" s="4">
        <f t="shared" si="8"/>
        <v>1303.7865826174436</v>
      </c>
      <c r="F48" s="1">
        <f t="shared" si="3"/>
        <v>352051.12756452145</v>
      </c>
      <c r="G48" s="1">
        <f t="shared" si="4"/>
        <v>44.169364268392364</v>
      </c>
      <c r="H48" s="4">
        <f t="shared" si="5"/>
        <v>2378.5744464816576</v>
      </c>
    </row>
    <row r="49" spans="1:8" x14ac:dyDescent="0.25">
      <c r="A49">
        <f t="shared" si="6"/>
        <v>42</v>
      </c>
      <c r="B49" s="1">
        <f t="shared" si="7"/>
        <v>352051.12756452145</v>
      </c>
      <c r="C49" s="4">
        <f t="shared" si="1"/>
        <v>2334.4050822132654</v>
      </c>
      <c r="D49" s="1">
        <f t="shared" si="2"/>
        <v>1026.8157887298544</v>
      </c>
      <c r="E49" s="4">
        <f t="shared" si="8"/>
        <v>1307.589293483411</v>
      </c>
      <c r="F49" s="1">
        <f t="shared" si="3"/>
        <v>350743.53827103804</v>
      </c>
      <c r="G49" s="1">
        <f t="shared" si="4"/>
        <v>44.00639094556518</v>
      </c>
      <c r="H49" s="4">
        <f t="shared" si="5"/>
        <v>2378.4114731588306</v>
      </c>
    </row>
    <row r="50" spans="1:8" x14ac:dyDescent="0.25">
      <c r="A50">
        <f t="shared" si="6"/>
        <v>43</v>
      </c>
      <c r="B50" s="1">
        <f t="shared" si="7"/>
        <v>350743.53827103804</v>
      </c>
      <c r="C50" s="4">
        <f t="shared" si="1"/>
        <v>2334.4050822132654</v>
      </c>
      <c r="D50" s="1">
        <f t="shared" si="2"/>
        <v>1023.0019866238609</v>
      </c>
      <c r="E50" s="4">
        <f t="shared" si="8"/>
        <v>1311.4030955894045</v>
      </c>
      <c r="F50" s="1">
        <f t="shared" si="3"/>
        <v>349432.13517544861</v>
      </c>
      <c r="G50" s="1">
        <f t="shared" si="4"/>
        <v>43.842942283879758</v>
      </c>
      <c r="H50" s="4">
        <f t="shared" si="5"/>
        <v>2378.2480244971453</v>
      </c>
    </row>
    <row r="51" spans="1:8" x14ac:dyDescent="0.25">
      <c r="A51">
        <f t="shared" si="6"/>
        <v>44</v>
      </c>
      <c r="B51" s="1">
        <f t="shared" si="7"/>
        <v>349432.13517544861</v>
      </c>
      <c r="C51" s="4">
        <f t="shared" si="1"/>
        <v>2334.4050822132654</v>
      </c>
      <c r="D51" s="1">
        <f t="shared" si="2"/>
        <v>1019.1770609283918</v>
      </c>
      <c r="E51" s="4">
        <f t="shared" si="8"/>
        <v>1315.2280212848736</v>
      </c>
      <c r="F51" s="1">
        <f t="shared" si="3"/>
        <v>348116.90715416375</v>
      </c>
      <c r="G51" s="1">
        <f t="shared" si="4"/>
        <v>43.679016896931074</v>
      </c>
      <c r="H51" s="4">
        <f t="shared" si="5"/>
        <v>2378.0840991101963</v>
      </c>
    </row>
    <row r="52" spans="1:8" x14ac:dyDescent="0.25">
      <c r="A52">
        <f t="shared" si="6"/>
        <v>45</v>
      </c>
      <c r="B52" s="1">
        <f t="shared" si="7"/>
        <v>348116.90715416375</v>
      </c>
      <c r="C52" s="4">
        <f t="shared" si="1"/>
        <v>2334.4050822132654</v>
      </c>
      <c r="D52" s="1">
        <f t="shared" si="2"/>
        <v>1015.3409791996443</v>
      </c>
      <c r="E52" s="4">
        <f t="shared" si="8"/>
        <v>1319.0641030136212</v>
      </c>
      <c r="F52" s="1">
        <f t="shared" si="3"/>
        <v>346797.84305115015</v>
      </c>
      <c r="G52" s="1">
        <f t="shared" si="4"/>
        <v>43.514613394270469</v>
      </c>
      <c r="H52" s="4">
        <f t="shared" si="5"/>
        <v>2377.9196956075357</v>
      </c>
    </row>
    <row r="53" spans="1:8" x14ac:dyDescent="0.25">
      <c r="A53">
        <f t="shared" si="6"/>
        <v>46</v>
      </c>
      <c r="B53" s="1">
        <f t="shared" si="7"/>
        <v>346797.84305115015</v>
      </c>
      <c r="C53" s="4">
        <f t="shared" si="1"/>
        <v>2334.4050822132654</v>
      </c>
      <c r="D53" s="1">
        <f t="shared" si="2"/>
        <v>1011.4937088991879</v>
      </c>
      <c r="E53" s="4">
        <f t="shared" si="8"/>
        <v>1322.9113733140775</v>
      </c>
      <c r="F53" s="1">
        <f t="shared" si="3"/>
        <v>345474.93167783605</v>
      </c>
      <c r="G53" s="1">
        <f t="shared" si="4"/>
        <v>43.349730381393776</v>
      </c>
      <c r="H53" s="4">
        <f t="shared" si="5"/>
        <v>2377.7548125946591</v>
      </c>
    </row>
    <row r="54" spans="1:8" x14ac:dyDescent="0.25">
      <c r="A54">
        <f t="shared" si="6"/>
        <v>47</v>
      </c>
      <c r="B54" s="1">
        <f t="shared" si="7"/>
        <v>345474.93167783605</v>
      </c>
      <c r="C54" s="4">
        <f t="shared" si="1"/>
        <v>2334.4050822132654</v>
      </c>
      <c r="D54" s="1">
        <f t="shared" si="2"/>
        <v>1007.6352173936885</v>
      </c>
      <c r="E54" s="4">
        <f t="shared" si="8"/>
        <v>1326.7698648195769</v>
      </c>
      <c r="F54" s="1">
        <f t="shared" si="3"/>
        <v>344148.16181301646</v>
      </c>
      <c r="G54" s="1">
        <f t="shared" si="4"/>
        <v>43.18436645972951</v>
      </c>
      <c r="H54" s="4">
        <f t="shared" si="5"/>
        <v>2377.5894486729949</v>
      </c>
    </row>
    <row r="55" spans="1:8" x14ac:dyDescent="0.25">
      <c r="A55">
        <f t="shared" si="6"/>
        <v>48</v>
      </c>
      <c r="B55" s="1">
        <f t="shared" si="7"/>
        <v>344148.16181301646</v>
      </c>
      <c r="C55" s="4">
        <f t="shared" si="1"/>
        <v>2334.4050822132654</v>
      </c>
      <c r="D55" s="1">
        <f t="shared" si="2"/>
        <v>1003.7654719546314</v>
      </c>
      <c r="E55" s="4">
        <f t="shared" si="8"/>
        <v>1330.6396102586341</v>
      </c>
      <c r="F55" s="1">
        <f t="shared" si="3"/>
        <v>342817.52220275783</v>
      </c>
      <c r="G55" s="1">
        <f t="shared" si="4"/>
        <v>43.018520226627061</v>
      </c>
      <c r="H55" s="4">
        <f t="shared" si="5"/>
        <v>2377.4236024398924</v>
      </c>
    </row>
    <row r="56" spans="1:8" x14ac:dyDescent="0.25">
      <c r="A56">
        <f t="shared" si="6"/>
        <v>49</v>
      </c>
      <c r="B56" s="1">
        <f t="shared" si="7"/>
        <v>342817.52220275783</v>
      </c>
      <c r="C56" s="4">
        <f t="shared" si="1"/>
        <v>2334.4050822132654</v>
      </c>
      <c r="D56" s="1">
        <f t="shared" si="2"/>
        <v>999.88443975804375</v>
      </c>
      <c r="E56" s="4">
        <f t="shared" si="8"/>
        <v>1334.5206424552216</v>
      </c>
      <c r="F56" s="1">
        <f t="shared" si="3"/>
        <v>341483.00156030263</v>
      </c>
      <c r="G56" s="1">
        <f t="shared" si="4"/>
        <v>42.852190275344725</v>
      </c>
      <c r="H56" s="4">
        <f t="shared" si="5"/>
        <v>2377.2572724886099</v>
      </c>
    </row>
    <row r="57" spans="1:8" x14ac:dyDescent="0.25">
      <c r="A57">
        <f t="shared" si="6"/>
        <v>50</v>
      </c>
      <c r="B57" s="1">
        <f t="shared" si="7"/>
        <v>341483.00156030263</v>
      </c>
      <c r="C57" s="4">
        <f t="shared" si="1"/>
        <v>2334.4050822132654</v>
      </c>
      <c r="D57" s="1">
        <f t="shared" si="2"/>
        <v>995.99208788421618</v>
      </c>
      <c r="E57" s="4">
        <f t="shared" si="8"/>
        <v>1338.4129943290491</v>
      </c>
      <c r="F57" s="1">
        <f t="shared" si="3"/>
        <v>340144.58856597356</v>
      </c>
      <c r="G57" s="1">
        <f t="shared" si="4"/>
        <v>42.685375195037828</v>
      </c>
      <c r="H57" s="4">
        <f t="shared" si="5"/>
        <v>2377.0904574083033</v>
      </c>
    </row>
    <row r="58" spans="1:8" x14ac:dyDescent="0.25">
      <c r="A58">
        <f t="shared" si="6"/>
        <v>51</v>
      </c>
      <c r="B58" s="1">
        <f t="shared" si="7"/>
        <v>340144.58856597356</v>
      </c>
      <c r="C58" s="4">
        <f t="shared" si="1"/>
        <v>2334.4050822132654</v>
      </c>
      <c r="D58" s="1">
        <f t="shared" si="2"/>
        <v>992.08838331742299</v>
      </c>
      <c r="E58" s="4">
        <f t="shared" si="8"/>
        <v>1342.3166988958424</v>
      </c>
      <c r="F58" s="1">
        <f t="shared" si="3"/>
        <v>338802.27186707774</v>
      </c>
      <c r="G58" s="1">
        <f t="shared" si="4"/>
        <v>42.518073570746701</v>
      </c>
      <c r="H58" s="4">
        <f t="shared" si="5"/>
        <v>2376.9231557840121</v>
      </c>
    </row>
    <row r="59" spans="1:8" x14ac:dyDescent="0.25">
      <c r="A59">
        <f t="shared" si="6"/>
        <v>52</v>
      </c>
      <c r="B59" s="1">
        <f t="shared" si="7"/>
        <v>338802.27186707774</v>
      </c>
      <c r="C59" s="4">
        <f t="shared" si="1"/>
        <v>2334.4050822132654</v>
      </c>
      <c r="D59" s="1">
        <f t="shared" si="2"/>
        <v>988.17329294564354</v>
      </c>
      <c r="E59" s="4">
        <f t="shared" si="8"/>
        <v>1346.2317892676219</v>
      </c>
      <c r="F59" s="1">
        <f t="shared" si="3"/>
        <v>337456.04007781012</v>
      </c>
      <c r="G59" s="1">
        <f t="shared" si="4"/>
        <v>42.35028398338472</v>
      </c>
      <c r="H59" s="4">
        <f t="shared" si="5"/>
        <v>2376.7553661966499</v>
      </c>
    </row>
    <row r="60" spans="1:8" x14ac:dyDescent="0.25">
      <c r="A60">
        <f t="shared" si="6"/>
        <v>53</v>
      </c>
      <c r="B60" s="1">
        <f t="shared" si="7"/>
        <v>337456.04007781012</v>
      </c>
      <c r="C60" s="4">
        <f t="shared" si="1"/>
        <v>2334.4050822132654</v>
      </c>
      <c r="D60" s="1">
        <f t="shared" si="2"/>
        <v>984.2467835602796</v>
      </c>
      <c r="E60" s="4">
        <f t="shared" si="8"/>
        <v>1350.1582986529856</v>
      </c>
      <c r="F60" s="1">
        <f t="shared" si="3"/>
        <v>336105.88177915715</v>
      </c>
      <c r="G60" s="1">
        <f t="shared" si="4"/>
        <v>42.182005009726261</v>
      </c>
      <c r="H60" s="4">
        <f t="shared" si="5"/>
        <v>2376.5870872229916</v>
      </c>
    </row>
    <row r="61" spans="1:8" x14ac:dyDescent="0.25">
      <c r="A61">
        <f t="shared" si="6"/>
        <v>54</v>
      </c>
      <c r="B61" s="1">
        <f t="shared" si="7"/>
        <v>336105.88177915715</v>
      </c>
      <c r="C61" s="4">
        <f t="shared" si="1"/>
        <v>2334.4050822132654</v>
      </c>
      <c r="D61" s="1">
        <f t="shared" si="2"/>
        <v>980.30882185587507</v>
      </c>
      <c r="E61" s="4">
        <f t="shared" si="8"/>
        <v>1354.0962603573903</v>
      </c>
      <c r="F61" s="1">
        <f t="shared" si="3"/>
        <v>334751.78551879973</v>
      </c>
      <c r="G61" s="1">
        <f t="shared" si="4"/>
        <v>42.013235222394648</v>
      </c>
      <c r="H61" s="4">
        <f t="shared" si="5"/>
        <v>2376.4183174356599</v>
      </c>
    </row>
    <row r="62" spans="1:8" x14ac:dyDescent="0.25">
      <c r="A62">
        <f t="shared" si="6"/>
        <v>55</v>
      </c>
      <c r="B62" s="1">
        <f t="shared" si="7"/>
        <v>334751.78551879973</v>
      </c>
      <c r="C62" s="4">
        <f t="shared" si="1"/>
        <v>2334.4050822132654</v>
      </c>
      <c r="D62" s="1">
        <f t="shared" si="2"/>
        <v>976.35937442983266</v>
      </c>
      <c r="E62" s="4">
        <f t="shared" si="8"/>
        <v>1358.0457077834326</v>
      </c>
      <c r="F62" s="1">
        <f t="shared" si="3"/>
        <v>333393.7398110163</v>
      </c>
      <c r="G62" s="1">
        <f t="shared" si="4"/>
        <v>41.843973189849969</v>
      </c>
      <c r="H62" s="4">
        <f t="shared" si="5"/>
        <v>2376.2490554031151</v>
      </c>
    </row>
    <row r="63" spans="1:8" x14ac:dyDescent="0.25">
      <c r="A63">
        <f t="shared" si="6"/>
        <v>56</v>
      </c>
      <c r="B63" s="1">
        <f t="shared" si="7"/>
        <v>333393.7398110163</v>
      </c>
      <c r="C63" s="4">
        <f t="shared" si="1"/>
        <v>2334.4050822132654</v>
      </c>
      <c r="D63" s="1">
        <f t="shared" si="2"/>
        <v>972.39840778213102</v>
      </c>
      <c r="E63" s="4">
        <f t="shared" si="8"/>
        <v>1362.0066744311343</v>
      </c>
      <c r="F63" s="1">
        <f t="shared" si="3"/>
        <v>332031.73313658516</v>
      </c>
      <c r="G63" s="1">
        <f t="shared" si="4"/>
        <v>41.674217476377038</v>
      </c>
      <c r="H63" s="4">
        <f t="shared" si="5"/>
        <v>2376.0792996896425</v>
      </c>
    </row>
    <row r="64" spans="1:8" x14ac:dyDescent="0.25">
      <c r="A64">
        <f t="shared" si="6"/>
        <v>57</v>
      </c>
      <c r="B64" s="1">
        <f t="shared" si="7"/>
        <v>332031.73313658516</v>
      </c>
      <c r="C64" s="4">
        <f t="shared" si="1"/>
        <v>2334.4050822132654</v>
      </c>
      <c r="D64" s="1">
        <f t="shared" si="2"/>
        <v>968.42588831504008</v>
      </c>
      <c r="E64" s="4">
        <f t="shared" si="8"/>
        <v>1365.9791938982253</v>
      </c>
      <c r="F64" s="1">
        <f t="shared" si="3"/>
        <v>330665.75394268695</v>
      </c>
      <c r="G64" s="1">
        <f t="shared" si="4"/>
        <v>41.503966642073145</v>
      </c>
      <c r="H64" s="4">
        <f t="shared" si="5"/>
        <v>2375.9090488553384</v>
      </c>
    </row>
    <row r="65" spans="1:8" x14ac:dyDescent="0.25">
      <c r="A65">
        <f t="shared" si="6"/>
        <v>58</v>
      </c>
      <c r="B65" s="1">
        <f t="shared" si="7"/>
        <v>330665.75394268695</v>
      </c>
      <c r="C65" s="4">
        <f t="shared" si="1"/>
        <v>2334.4050822132654</v>
      </c>
      <c r="D65" s="1">
        <f t="shared" si="2"/>
        <v>964.44178233283708</v>
      </c>
      <c r="E65" s="4">
        <f t="shared" si="8"/>
        <v>1369.9632998804282</v>
      </c>
      <c r="F65" s="1">
        <f t="shared" si="3"/>
        <v>329295.7906428065</v>
      </c>
      <c r="G65" s="1">
        <f t="shared" si="4"/>
        <v>41.333219242835874</v>
      </c>
      <c r="H65" s="4">
        <f t="shared" si="5"/>
        <v>2375.7383014561015</v>
      </c>
    </row>
    <row r="66" spans="1:8" x14ac:dyDescent="0.25">
      <c r="A66">
        <f t="shared" si="6"/>
        <v>59</v>
      </c>
      <c r="B66" s="1">
        <f t="shared" si="7"/>
        <v>329295.7906428065</v>
      </c>
      <c r="C66" s="4">
        <f t="shared" si="1"/>
        <v>2334.4050822132654</v>
      </c>
      <c r="D66" s="1">
        <f t="shared" si="2"/>
        <v>960.44605604151911</v>
      </c>
      <c r="E66" s="4">
        <f t="shared" si="8"/>
        <v>1373.9590261717462</v>
      </c>
      <c r="F66" s="1">
        <f t="shared" si="3"/>
        <v>327921.83161663474</v>
      </c>
      <c r="G66" s="1">
        <f t="shared" si="4"/>
        <v>41.16197383035081</v>
      </c>
      <c r="H66" s="4">
        <f t="shared" si="5"/>
        <v>2375.567056043616</v>
      </c>
    </row>
    <row r="67" spans="1:8" x14ac:dyDescent="0.25">
      <c r="A67">
        <f t="shared" si="6"/>
        <v>60</v>
      </c>
      <c r="B67" s="1">
        <f t="shared" si="7"/>
        <v>327921.83161663474</v>
      </c>
      <c r="C67" s="4">
        <f t="shared" si="1"/>
        <v>2334.4050822132654</v>
      </c>
      <c r="D67" s="1">
        <f t="shared" si="2"/>
        <v>956.43867554851806</v>
      </c>
      <c r="E67" s="4">
        <f t="shared" si="8"/>
        <v>1377.9664066647474</v>
      </c>
      <c r="F67" s="1">
        <f t="shared" si="3"/>
        <v>326543.86520996998</v>
      </c>
      <c r="G67" s="1">
        <f t="shared" si="4"/>
        <v>40.990228952079342</v>
      </c>
      <c r="H67" s="4">
        <f t="shared" si="5"/>
        <v>2375.3953111653445</v>
      </c>
    </row>
    <row r="68" spans="1:8" x14ac:dyDescent="0.25">
      <c r="A68">
        <f t="shared" si="6"/>
        <v>61</v>
      </c>
      <c r="B68" s="1">
        <f t="shared" si="7"/>
        <v>326543.86520996998</v>
      </c>
      <c r="C68" s="4">
        <f t="shared" si="1"/>
        <v>2334.4050822132654</v>
      </c>
      <c r="D68" s="1">
        <f t="shared" si="2"/>
        <v>952.41960686241248</v>
      </c>
      <c r="E68" s="4">
        <f t="shared" si="8"/>
        <v>1381.985475350853</v>
      </c>
      <c r="F68" s="1">
        <f t="shared" si="3"/>
        <v>325161.87973461911</v>
      </c>
      <c r="G68" s="1">
        <f t="shared" si="4"/>
        <v>40.817983151246246</v>
      </c>
      <c r="H68" s="4">
        <f t="shared" si="5"/>
        <v>2375.2230653645115</v>
      </c>
    </row>
    <row r="69" spans="1:8" x14ac:dyDescent="0.25">
      <c r="A69">
        <f t="shared" si="6"/>
        <v>62</v>
      </c>
      <c r="B69" s="1">
        <f t="shared" si="7"/>
        <v>325161.87973461911</v>
      </c>
      <c r="C69" s="4">
        <f t="shared" si="1"/>
        <v>2334.4050822132654</v>
      </c>
      <c r="D69" s="1">
        <f t="shared" si="2"/>
        <v>948.38881589263917</v>
      </c>
      <c r="E69" s="4">
        <f t="shared" si="8"/>
        <v>1386.0162663206261</v>
      </c>
      <c r="F69" s="1">
        <f t="shared" si="3"/>
        <v>323775.86346829851</v>
      </c>
      <c r="G69" s="1">
        <f t="shared" si="4"/>
        <v>40.645234966827388</v>
      </c>
      <c r="H69" s="4">
        <f t="shared" si="5"/>
        <v>2375.0503171800929</v>
      </c>
    </row>
    <row r="70" spans="1:8" x14ac:dyDescent="0.25">
      <c r="A70">
        <f t="shared" si="6"/>
        <v>63</v>
      </c>
      <c r="B70" s="1">
        <f t="shared" si="7"/>
        <v>323775.86346829851</v>
      </c>
      <c r="C70" s="4">
        <f t="shared" si="1"/>
        <v>2334.4050822132654</v>
      </c>
      <c r="D70" s="1">
        <f t="shared" si="2"/>
        <v>944.3462684492041</v>
      </c>
      <c r="E70" s="4">
        <f t="shared" si="8"/>
        <v>1390.0588137640611</v>
      </c>
      <c r="F70" s="1">
        <f t="shared" si="3"/>
        <v>322385.80465453444</v>
      </c>
      <c r="G70" s="1">
        <f t="shared" si="4"/>
        <v>40.471982933537312</v>
      </c>
      <c r="H70" s="4">
        <f t="shared" si="5"/>
        <v>2374.8770651468026</v>
      </c>
    </row>
    <row r="71" spans="1:8" x14ac:dyDescent="0.25">
      <c r="A71">
        <f t="shared" si="6"/>
        <v>64</v>
      </c>
      <c r="B71" s="1">
        <f t="shared" si="7"/>
        <v>322385.80465453444</v>
      </c>
      <c r="C71" s="4">
        <f t="shared" si="1"/>
        <v>2334.4050822132654</v>
      </c>
      <c r="D71" s="1">
        <f t="shared" si="2"/>
        <v>940.29193024239214</v>
      </c>
      <c r="E71" s="4">
        <f t="shared" si="8"/>
        <v>1394.1131519708733</v>
      </c>
      <c r="F71" s="1">
        <f t="shared" si="3"/>
        <v>320991.69150256354</v>
      </c>
      <c r="G71" s="1">
        <f t="shared" si="4"/>
        <v>40.298225581816801</v>
      </c>
      <c r="H71" s="4">
        <f t="shared" si="5"/>
        <v>2374.7033077950823</v>
      </c>
    </row>
    <row r="72" spans="1:8" x14ac:dyDescent="0.25">
      <c r="A72">
        <f t="shared" si="6"/>
        <v>65</v>
      </c>
      <c r="B72" s="1">
        <f t="shared" si="7"/>
        <v>320991.69150256354</v>
      </c>
      <c r="C72" s="4">
        <f t="shared" si="1"/>
        <v>2334.4050822132654</v>
      </c>
      <c r="D72" s="1">
        <f t="shared" si="2"/>
        <v>936.22576688247716</v>
      </c>
      <c r="E72" s="4">
        <f t="shared" si="8"/>
        <v>1398.1793153307881</v>
      </c>
      <c r="F72" s="1">
        <f t="shared" si="3"/>
        <v>319593.51218723273</v>
      </c>
      <c r="G72" s="1">
        <f t="shared" si="4"/>
        <v>40.123961437820448</v>
      </c>
      <c r="H72" s="4">
        <f t="shared" si="5"/>
        <v>2374.5290436510859</v>
      </c>
    </row>
    <row r="73" spans="1:8" x14ac:dyDescent="0.25">
      <c r="A73">
        <f t="shared" si="6"/>
        <v>66</v>
      </c>
      <c r="B73" s="1">
        <f t="shared" si="7"/>
        <v>319593.51218723273</v>
      </c>
      <c r="C73" s="4">
        <f t="shared" ref="C73:C136" si="9">IF(A73&lt;=$C$3*12,$C$5,0)</f>
        <v>2334.4050822132654</v>
      </c>
      <c r="D73" s="1">
        <f t="shared" ref="D73:D136" si="10">B73*$C$2/12</f>
        <v>932.14774387942896</v>
      </c>
      <c r="E73" s="4">
        <f t="shared" si="8"/>
        <v>1402.2573383338363</v>
      </c>
      <c r="F73" s="1">
        <f t="shared" ref="F73:F136" si="11">MAX(B73-E73,0)</f>
        <v>318191.25484889891</v>
      </c>
      <c r="G73" s="1">
        <f t="shared" ref="G73:G136" si="12">IF(A73&lt;=$C$3*12,B73*$C$4/12,0)</f>
        <v>39.949189023404095</v>
      </c>
      <c r="H73" s="4">
        <f t="shared" ref="H73:H136" si="13">C73+G73</f>
        <v>2374.3542712366693</v>
      </c>
    </row>
    <row r="74" spans="1:8" x14ac:dyDescent="0.25">
      <c r="A74">
        <f t="shared" ref="A74:A108" si="14">A73+1</f>
        <v>67</v>
      </c>
      <c r="B74" s="1">
        <f t="shared" ref="B74:B137" si="15">F73</f>
        <v>318191.25484889891</v>
      </c>
      <c r="C74" s="4">
        <f t="shared" si="9"/>
        <v>2334.4050822132654</v>
      </c>
      <c r="D74" s="1">
        <f t="shared" si="10"/>
        <v>928.05782664262188</v>
      </c>
      <c r="E74" s="4">
        <f t="shared" ref="E74:E137" si="16">IF(C74-D74&lt;0,0,C74-D74)</f>
        <v>1406.3472555706435</v>
      </c>
      <c r="F74" s="1">
        <f t="shared" si="11"/>
        <v>316784.90759332827</v>
      </c>
      <c r="G74" s="1">
        <f t="shared" si="12"/>
        <v>39.773906856112369</v>
      </c>
      <c r="H74" s="4">
        <f t="shared" si="13"/>
        <v>2374.1789890693776</v>
      </c>
    </row>
    <row r="75" spans="1:8" x14ac:dyDescent="0.25">
      <c r="A75">
        <f t="shared" si="14"/>
        <v>68</v>
      </c>
      <c r="B75" s="1">
        <f t="shared" si="15"/>
        <v>316784.90759332827</v>
      </c>
      <c r="C75" s="4">
        <f t="shared" si="9"/>
        <v>2334.4050822132654</v>
      </c>
      <c r="D75" s="1">
        <f t="shared" si="10"/>
        <v>923.95598048054092</v>
      </c>
      <c r="E75" s="4">
        <f t="shared" si="16"/>
        <v>1410.4491017327246</v>
      </c>
      <c r="F75" s="1">
        <f t="shared" si="11"/>
        <v>315374.45849159552</v>
      </c>
      <c r="G75" s="1">
        <f t="shared" si="12"/>
        <v>39.598113449166036</v>
      </c>
      <c r="H75" s="4">
        <f t="shared" si="13"/>
        <v>2374.0031956624316</v>
      </c>
    </row>
    <row r="76" spans="1:8" x14ac:dyDescent="0.25">
      <c r="A76">
        <f t="shared" si="14"/>
        <v>69</v>
      </c>
      <c r="B76" s="1">
        <f t="shared" si="15"/>
        <v>315374.45849159552</v>
      </c>
      <c r="C76" s="4">
        <f t="shared" si="9"/>
        <v>2334.4050822132654</v>
      </c>
      <c r="D76" s="1">
        <f t="shared" si="10"/>
        <v>919.84217060048695</v>
      </c>
      <c r="E76" s="4">
        <f t="shared" si="16"/>
        <v>1414.5629116127784</v>
      </c>
      <c r="F76" s="1">
        <f t="shared" si="11"/>
        <v>313959.89557998272</v>
      </c>
      <c r="G76" s="1">
        <f t="shared" si="12"/>
        <v>39.421807311449442</v>
      </c>
      <c r="H76" s="4">
        <f t="shared" si="13"/>
        <v>2373.8268895247147</v>
      </c>
    </row>
    <row r="77" spans="1:8" x14ac:dyDescent="0.25">
      <c r="A77">
        <f t="shared" si="14"/>
        <v>70</v>
      </c>
      <c r="B77" s="1">
        <f t="shared" si="15"/>
        <v>313959.89557998272</v>
      </c>
      <c r="C77" s="4">
        <f t="shared" si="9"/>
        <v>2334.4050822132654</v>
      </c>
      <c r="D77" s="1">
        <f t="shared" si="10"/>
        <v>915.71636210828308</v>
      </c>
      <c r="E77" s="4">
        <f t="shared" si="16"/>
        <v>1418.6887201049822</v>
      </c>
      <c r="F77" s="1">
        <f t="shared" si="11"/>
        <v>312541.20685987774</v>
      </c>
      <c r="G77" s="1">
        <f t="shared" si="12"/>
        <v>39.244986947497843</v>
      </c>
      <c r="H77" s="4">
        <f t="shared" si="13"/>
        <v>2373.650069160763</v>
      </c>
    </row>
    <row r="78" spans="1:8" x14ac:dyDescent="0.25">
      <c r="A78">
        <f t="shared" si="14"/>
        <v>71</v>
      </c>
      <c r="B78" s="1">
        <f t="shared" si="15"/>
        <v>312541.20685987774</v>
      </c>
      <c r="C78" s="4">
        <f t="shared" si="9"/>
        <v>2334.4050822132654</v>
      </c>
      <c r="D78" s="1">
        <f t="shared" si="10"/>
        <v>911.57852000797686</v>
      </c>
      <c r="E78" s="4">
        <f t="shared" si="16"/>
        <v>1422.8265622052886</v>
      </c>
      <c r="F78" s="1">
        <f t="shared" si="11"/>
        <v>311118.38029767247</v>
      </c>
      <c r="G78" s="1">
        <f t="shared" si="12"/>
        <v>39.067650857484715</v>
      </c>
      <c r="H78" s="4">
        <f t="shared" si="13"/>
        <v>2373.4727330707501</v>
      </c>
    </row>
    <row r="79" spans="1:8" x14ac:dyDescent="0.25">
      <c r="A79">
        <f t="shared" si="14"/>
        <v>72</v>
      </c>
      <c r="B79" s="1">
        <f t="shared" si="15"/>
        <v>311118.38029767247</v>
      </c>
      <c r="C79" s="4">
        <f t="shared" si="9"/>
        <v>2334.4050822132654</v>
      </c>
      <c r="D79" s="1">
        <f t="shared" si="10"/>
        <v>907.42860920154487</v>
      </c>
      <c r="E79" s="4">
        <f t="shared" si="16"/>
        <v>1426.9764730117204</v>
      </c>
      <c r="F79" s="1">
        <f t="shared" si="11"/>
        <v>309691.40382466075</v>
      </c>
      <c r="G79" s="1">
        <f t="shared" si="12"/>
        <v>38.889797537209056</v>
      </c>
      <c r="H79" s="4">
        <f t="shared" si="13"/>
        <v>2373.2948797504746</v>
      </c>
    </row>
    <row r="80" spans="1:8" x14ac:dyDescent="0.25">
      <c r="A80">
        <f t="shared" si="14"/>
        <v>73</v>
      </c>
      <c r="B80" s="1">
        <f t="shared" si="15"/>
        <v>309691.40382466075</v>
      </c>
      <c r="C80" s="4">
        <f t="shared" si="9"/>
        <v>2334.4050822132654</v>
      </c>
      <c r="D80" s="1">
        <f t="shared" si="10"/>
        <v>903.26659448859391</v>
      </c>
      <c r="E80" s="4">
        <f t="shared" si="16"/>
        <v>1431.1384877246714</v>
      </c>
      <c r="F80" s="1">
        <f t="shared" si="11"/>
        <v>308260.26533693611</v>
      </c>
      <c r="G80" s="1">
        <f t="shared" si="12"/>
        <v>38.711425478082596</v>
      </c>
      <c r="H80" s="4">
        <f t="shared" si="13"/>
        <v>2373.116507691348</v>
      </c>
    </row>
    <row r="81" spans="1:8" x14ac:dyDescent="0.25">
      <c r="A81">
        <f t="shared" si="14"/>
        <v>74</v>
      </c>
      <c r="B81" s="1">
        <f t="shared" si="15"/>
        <v>308260.26533693611</v>
      </c>
      <c r="C81" s="4">
        <f t="shared" si="9"/>
        <v>2334.4050822132654</v>
      </c>
      <c r="D81" s="1">
        <f t="shared" si="10"/>
        <v>899.09244056606383</v>
      </c>
      <c r="E81" s="4">
        <f t="shared" si="16"/>
        <v>1435.3126416472014</v>
      </c>
      <c r="F81" s="1">
        <f t="shared" si="11"/>
        <v>306824.95269528893</v>
      </c>
      <c r="G81" s="1">
        <f t="shared" si="12"/>
        <v>38.532533167117016</v>
      </c>
      <c r="H81" s="4">
        <f t="shared" si="13"/>
        <v>2372.9376153803823</v>
      </c>
    </row>
    <row r="82" spans="1:8" x14ac:dyDescent="0.25">
      <c r="A82">
        <f t="shared" si="14"/>
        <v>75</v>
      </c>
      <c r="B82" s="1">
        <f t="shared" si="15"/>
        <v>306824.95269528893</v>
      </c>
      <c r="C82" s="4">
        <f t="shared" si="9"/>
        <v>2334.4050822132654</v>
      </c>
      <c r="D82" s="1">
        <f t="shared" si="10"/>
        <v>894.90611202792616</v>
      </c>
      <c r="E82" s="4">
        <f t="shared" si="16"/>
        <v>1439.4989701853392</v>
      </c>
      <c r="F82" s="1">
        <f t="shared" si="11"/>
        <v>305385.45372510358</v>
      </c>
      <c r="G82" s="1">
        <f t="shared" si="12"/>
        <v>38.353119086911114</v>
      </c>
      <c r="H82" s="4">
        <f t="shared" si="13"/>
        <v>2372.7582013001766</v>
      </c>
    </row>
    <row r="83" spans="1:8" x14ac:dyDescent="0.25">
      <c r="A83">
        <f t="shared" si="14"/>
        <v>76</v>
      </c>
      <c r="B83" s="1">
        <f t="shared" si="15"/>
        <v>305385.45372510358</v>
      </c>
      <c r="C83" s="4">
        <f t="shared" si="9"/>
        <v>2334.4050822132654</v>
      </c>
      <c r="D83" s="1">
        <f t="shared" si="10"/>
        <v>890.70757336488543</v>
      </c>
      <c r="E83" s="4">
        <f t="shared" si="16"/>
        <v>1443.69750884838</v>
      </c>
      <c r="F83" s="1">
        <f t="shared" si="11"/>
        <v>303941.75621625519</v>
      </c>
      <c r="G83" s="1">
        <f t="shared" si="12"/>
        <v>38.173181715637945</v>
      </c>
      <c r="H83" s="4">
        <f t="shared" si="13"/>
        <v>2372.5782639289032</v>
      </c>
    </row>
    <row r="84" spans="1:8" x14ac:dyDescent="0.25">
      <c r="A84">
        <f t="shared" si="14"/>
        <v>77</v>
      </c>
      <c r="B84" s="1">
        <f t="shared" si="15"/>
        <v>303941.75621625519</v>
      </c>
      <c r="C84" s="4">
        <f t="shared" si="9"/>
        <v>2334.4050822132654</v>
      </c>
      <c r="D84" s="1">
        <f t="shared" si="10"/>
        <v>886.49678896407784</v>
      </c>
      <c r="E84" s="4">
        <f t="shared" si="16"/>
        <v>1447.9082932491874</v>
      </c>
      <c r="F84" s="1">
        <f t="shared" si="11"/>
        <v>302493.84792300599</v>
      </c>
      <c r="G84" s="1">
        <f t="shared" si="12"/>
        <v>37.992719527031902</v>
      </c>
      <c r="H84" s="4">
        <f t="shared" si="13"/>
        <v>2372.3978017402974</v>
      </c>
    </row>
    <row r="85" spans="1:8" x14ac:dyDescent="0.25">
      <c r="A85">
        <f t="shared" si="14"/>
        <v>78</v>
      </c>
      <c r="B85" s="1">
        <f t="shared" si="15"/>
        <v>302493.84792300599</v>
      </c>
      <c r="C85" s="4">
        <f t="shared" si="9"/>
        <v>2334.4050822132654</v>
      </c>
      <c r="D85" s="1">
        <f t="shared" si="10"/>
        <v>882.27372310876763</v>
      </c>
      <c r="E85" s="4">
        <f t="shared" si="16"/>
        <v>1452.1313591044977</v>
      </c>
      <c r="F85" s="1">
        <f t="shared" si="11"/>
        <v>301041.71656390151</v>
      </c>
      <c r="G85" s="1">
        <f t="shared" si="12"/>
        <v>37.81173099037575</v>
      </c>
      <c r="H85" s="4">
        <f t="shared" si="13"/>
        <v>2372.2168132036413</v>
      </c>
    </row>
    <row r="86" spans="1:8" x14ac:dyDescent="0.25">
      <c r="A86">
        <f t="shared" si="14"/>
        <v>79</v>
      </c>
      <c r="B86" s="1">
        <f t="shared" si="15"/>
        <v>301041.71656390151</v>
      </c>
      <c r="C86" s="4">
        <f t="shared" si="9"/>
        <v>2334.4050822132654</v>
      </c>
      <c r="D86" s="1">
        <f t="shared" si="10"/>
        <v>878.03833997804622</v>
      </c>
      <c r="E86" s="4">
        <f t="shared" si="16"/>
        <v>1456.3667422352191</v>
      </c>
      <c r="F86" s="1">
        <f t="shared" si="11"/>
        <v>299585.34982166631</v>
      </c>
      <c r="G86" s="1">
        <f t="shared" si="12"/>
        <v>37.630214570487688</v>
      </c>
      <c r="H86" s="4">
        <f t="shared" si="13"/>
        <v>2372.035296783753</v>
      </c>
    </row>
    <row r="87" spans="1:8" x14ac:dyDescent="0.25">
      <c r="A87">
        <f t="shared" si="14"/>
        <v>80</v>
      </c>
      <c r="B87" s="1">
        <f t="shared" si="15"/>
        <v>299585.34982166631</v>
      </c>
      <c r="C87" s="4">
        <f t="shared" si="9"/>
        <v>2334.4050822132654</v>
      </c>
      <c r="D87" s="1">
        <f t="shared" si="10"/>
        <v>873.79060364652685</v>
      </c>
      <c r="E87" s="4">
        <f t="shared" si="16"/>
        <v>1460.6144785667384</v>
      </c>
      <c r="F87" s="1">
        <f t="shared" si="11"/>
        <v>298124.73534309957</v>
      </c>
      <c r="G87" s="1">
        <f t="shared" si="12"/>
        <v>37.448168727708286</v>
      </c>
      <c r="H87" s="4">
        <f t="shared" si="13"/>
        <v>2371.8532509409738</v>
      </c>
    </row>
    <row r="88" spans="1:8" x14ac:dyDescent="0.25">
      <c r="A88">
        <f t="shared" si="14"/>
        <v>81</v>
      </c>
      <c r="B88" s="1">
        <f t="shared" si="15"/>
        <v>298124.73534309957</v>
      </c>
      <c r="C88" s="4">
        <f t="shared" si="9"/>
        <v>2334.4050822132654</v>
      </c>
      <c r="D88" s="1">
        <f t="shared" si="10"/>
        <v>869.53047808404051</v>
      </c>
      <c r="E88" s="4">
        <f t="shared" si="16"/>
        <v>1464.8746041292247</v>
      </c>
      <c r="F88" s="1">
        <f t="shared" si="11"/>
        <v>296659.86073897034</v>
      </c>
      <c r="G88" s="1">
        <f t="shared" si="12"/>
        <v>37.265591917887448</v>
      </c>
      <c r="H88" s="4">
        <f t="shared" si="13"/>
        <v>2371.6706741311527</v>
      </c>
    </row>
    <row r="89" spans="1:8" x14ac:dyDescent="0.25">
      <c r="A89">
        <f t="shared" si="14"/>
        <v>82</v>
      </c>
      <c r="B89" s="1">
        <f t="shared" si="15"/>
        <v>296659.86073897034</v>
      </c>
      <c r="C89" s="4">
        <f t="shared" si="9"/>
        <v>2334.4050822132654</v>
      </c>
      <c r="D89" s="1">
        <f t="shared" si="10"/>
        <v>865.25792715533032</v>
      </c>
      <c r="E89" s="4">
        <f t="shared" si="16"/>
        <v>1469.1471550579349</v>
      </c>
      <c r="F89" s="1">
        <f t="shared" si="11"/>
        <v>295190.71358391241</v>
      </c>
      <c r="G89" s="1">
        <f t="shared" si="12"/>
        <v>37.082482592371292</v>
      </c>
      <c r="H89" s="4">
        <f t="shared" si="13"/>
        <v>2371.4875648056368</v>
      </c>
    </row>
    <row r="90" spans="1:8" x14ac:dyDescent="0.25">
      <c r="A90">
        <f t="shared" si="14"/>
        <v>83</v>
      </c>
      <c r="B90" s="1">
        <f t="shared" si="15"/>
        <v>295190.71358391241</v>
      </c>
      <c r="C90" s="4">
        <f t="shared" si="9"/>
        <v>2334.4050822132654</v>
      </c>
      <c r="D90" s="1">
        <f t="shared" si="10"/>
        <v>860.97291461974464</v>
      </c>
      <c r="E90" s="4">
        <f t="shared" si="16"/>
        <v>1473.4321675935207</v>
      </c>
      <c r="F90" s="1">
        <f t="shared" si="11"/>
        <v>293717.2814163189</v>
      </c>
      <c r="G90" s="1">
        <f t="shared" si="12"/>
        <v>36.898839197989055</v>
      </c>
      <c r="H90" s="4">
        <f t="shared" si="13"/>
        <v>2371.3039214112546</v>
      </c>
    </row>
    <row r="91" spans="1:8" x14ac:dyDescent="0.25">
      <c r="A91">
        <f t="shared" si="14"/>
        <v>84</v>
      </c>
      <c r="B91" s="1">
        <f t="shared" si="15"/>
        <v>293717.2814163189</v>
      </c>
      <c r="C91" s="4">
        <f t="shared" si="9"/>
        <v>2334.4050822132654</v>
      </c>
      <c r="D91" s="1">
        <f t="shared" si="10"/>
        <v>856.67540413093013</v>
      </c>
      <c r="E91" s="4">
        <f t="shared" si="16"/>
        <v>1477.7296780823353</v>
      </c>
      <c r="F91" s="1">
        <f t="shared" si="11"/>
        <v>292239.55173823657</v>
      </c>
      <c r="G91" s="1">
        <f t="shared" si="12"/>
        <v>36.714660177039868</v>
      </c>
      <c r="H91" s="4">
        <f t="shared" si="13"/>
        <v>2371.1197423903054</v>
      </c>
    </row>
    <row r="92" spans="1:8" x14ac:dyDescent="0.25">
      <c r="A92">
        <f t="shared" si="14"/>
        <v>85</v>
      </c>
      <c r="B92" s="1">
        <f t="shared" si="15"/>
        <v>292239.55173823657</v>
      </c>
      <c r="C92" s="4">
        <f t="shared" si="9"/>
        <v>2334.4050822132654</v>
      </c>
      <c r="D92" s="1">
        <f t="shared" si="10"/>
        <v>852.36535923652343</v>
      </c>
      <c r="E92" s="4">
        <f t="shared" si="16"/>
        <v>1482.0397229767418</v>
      </c>
      <c r="F92" s="1">
        <f t="shared" si="11"/>
        <v>290757.51201525982</v>
      </c>
      <c r="G92" s="1">
        <f t="shared" si="12"/>
        <v>36.529943967279571</v>
      </c>
      <c r="H92" s="4">
        <f t="shared" si="13"/>
        <v>2370.9350261805448</v>
      </c>
    </row>
    <row r="93" spans="1:8" x14ac:dyDescent="0.25">
      <c r="A93">
        <f t="shared" si="14"/>
        <v>86</v>
      </c>
      <c r="B93" s="1">
        <f t="shared" si="15"/>
        <v>290757.51201525982</v>
      </c>
      <c r="C93" s="4">
        <f t="shared" si="9"/>
        <v>2334.4050822132654</v>
      </c>
      <c r="D93" s="1">
        <f t="shared" si="10"/>
        <v>848.04274337784125</v>
      </c>
      <c r="E93" s="4">
        <f t="shared" si="16"/>
        <v>1486.362338835424</v>
      </c>
      <c r="F93" s="1">
        <f t="shared" si="11"/>
        <v>289271.14967642439</v>
      </c>
      <c r="G93" s="1">
        <f t="shared" si="12"/>
        <v>36.344689001907476</v>
      </c>
      <c r="H93" s="4">
        <f t="shared" si="13"/>
        <v>2370.749771215173</v>
      </c>
    </row>
    <row r="94" spans="1:8" x14ac:dyDescent="0.25">
      <c r="A94">
        <f t="shared" si="14"/>
        <v>87</v>
      </c>
      <c r="B94" s="1">
        <f t="shared" si="15"/>
        <v>289271.14967642439</v>
      </c>
      <c r="C94" s="4">
        <f t="shared" si="9"/>
        <v>2334.4050822132654</v>
      </c>
      <c r="D94" s="1">
        <f t="shared" si="10"/>
        <v>843.70751988957124</v>
      </c>
      <c r="E94" s="4">
        <f t="shared" si="16"/>
        <v>1490.697562323694</v>
      </c>
      <c r="F94" s="1">
        <f t="shared" si="11"/>
        <v>287780.45211410068</v>
      </c>
      <c r="G94" s="1">
        <f t="shared" si="12"/>
        <v>36.158893709553048</v>
      </c>
      <c r="H94" s="4">
        <f t="shared" si="13"/>
        <v>2370.5639759228184</v>
      </c>
    </row>
    <row r="95" spans="1:8" x14ac:dyDescent="0.25">
      <c r="A95">
        <f t="shared" si="14"/>
        <v>88</v>
      </c>
      <c r="B95" s="1">
        <f t="shared" si="15"/>
        <v>287780.45211410068</v>
      </c>
      <c r="C95" s="4">
        <f t="shared" si="9"/>
        <v>2334.4050822132654</v>
      </c>
      <c r="D95" s="1">
        <f t="shared" si="10"/>
        <v>839.35965199946043</v>
      </c>
      <c r="E95" s="4">
        <f t="shared" si="16"/>
        <v>1495.045430213805</v>
      </c>
      <c r="F95" s="1">
        <f t="shared" si="11"/>
        <v>286285.40668388689</v>
      </c>
      <c r="G95" s="1">
        <f t="shared" si="12"/>
        <v>35.972556514262585</v>
      </c>
      <c r="H95" s="4">
        <f t="shared" si="13"/>
        <v>2370.3776387275279</v>
      </c>
    </row>
    <row r="96" spans="1:8" x14ac:dyDescent="0.25">
      <c r="A96">
        <f t="shared" si="14"/>
        <v>89</v>
      </c>
      <c r="B96" s="1">
        <f t="shared" si="15"/>
        <v>286285.40668388689</v>
      </c>
      <c r="C96" s="4">
        <f t="shared" si="9"/>
        <v>2334.4050822132654</v>
      </c>
      <c r="D96" s="1">
        <f t="shared" si="10"/>
        <v>834.9991028280034</v>
      </c>
      <c r="E96" s="4">
        <f t="shared" si="16"/>
        <v>1499.4059793852621</v>
      </c>
      <c r="F96" s="1">
        <f t="shared" si="11"/>
        <v>284786.00070450164</v>
      </c>
      <c r="G96" s="1">
        <f t="shared" si="12"/>
        <v>35.785675835485861</v>
      </c>
      <c r="H96" s="4">
        <f t="shared" si="13"/>
        <v>2370.1907580487514</v>
      </c>
    </row>
    <row r="97" spans="1:8" x14ac:dyDescent="0.25">
      <c r="A97">
        <f t="shared" si="14"/>
        <v>90</v>
      </c>
      <c r="B97" s="1">
        <f t="shared" si="15"/>
        <v>284786.00070450164</v>
      </c>
      <c r="C97" s="4">
        <f t="shared" si="9"/>
        <v>2334.4050822132654</v>
      </c>
      <c r="D97" s="1">
        <f t="shared" si="10"/>
        <v>830.62583538812987</v>
      </c>
      <c r="E97" s="4">
        <f t="shared" si="16"/>
        <v>1503.7792468251355</v>
      </c>
      <c r="F97" s="1">
        <f t="shared" si="11"/>
        <v>283282.2214576765</v>
      </c>
      <c r="G97" s="1">
        <f t="shared" si="12"/>
        <v>35.598250088062706</v>
      </c>
      <c r="H97" s="4">
        <f t="shared" si="13"/>
        <v>2370.0033323013281</v>
      </c>
    </row>
    <row r="98" spans="1:8" x14ac:dyDescent="0.25">
      <c r="A98">
        <f t="shared" si="14"/>
        <v>91</v>
      </c>
      <c r="B98" s="1">
        <f t="shared" si="15"/>
        <v>283282.2214576765</v>
      </c>
      <c r="C98" s="4">
        <f t="shared" si="9"/>
        <v>2334.4050822132654</v>
      </c>
      <c r="D98" s="1">
        <f t="shared" si="10"/>
        <v>826.23981258488993</v>
      </c>
      <c r="E98" s="4">
        <f t="shared" si="16"/>
        <v>1508.1652696283754</v>
      </c>
      <c r="F98" s="1">
        <f t="shared" si="11"/>
        <v>281774.0561880481</v>
      </c>
      <c r="G98" s="1">
        <f t="shared" si="12"/>
        <v>35.410277682209561</v>
      </c>
      <c r="H98" s="4">
        <f t="shared" si="13"/>
        <v>2369.815359895475</v>
      </c>
    </row>
    <row r="99" spans="1:8" x14ac:dyDescent="0.25">
      <c r="A99">
        <f t="shared" si="14"/>
        <v>92</v>
      </c>
      <c r="B99" s="1">
        <f t="shared" si="15"/>
        <v>281774.0561880481</v>
      </c>
      <c r="C99" s="4">
        <f t="shared" si="9"/>
        <v>2334.4050822132654</v>
      </c>
      <c r="D99" s="1">
        <f t="shared" si="10"/>
        <v>821.84099721514031</v>
      </c>
      <c r="E99" s="4">
        <f t="shared" si="16"/>
        <v>1512.5640849981251</v>
      </c>
      <c r="F99" s="1">
        <f t="shared" si="11"/>
        <v>280261.49210305</v>
      </c>
      <c r="G99" s="1">
        <f t="shared" si="12"/>
        <v>35.221757023506015</v>
      </c>
      <c r="H99" s="4">
        <f t="shared" si="13"/>
        <v>2369.6268392367715</v>
      </c>
    </row>
    <row r="100" spans="1:8" x14ac:dyDescent="0.25">
      <c r="A100">
        <f t="shared" si="14"/>
        <v>93</v>
      </c>
      <c r="B100" s="1">
        <f t="shared" si="15"/>
        <v>280261.49210305</v>
      </c>
      <c r="C100" s="4">
        <f t="shared" si="9"/>
        <v>2334.4050822132654</v>
      </c>
      <c r="D100" s="1">
        <f t="shared" si="10"/>
        <v>817.42935196722919</v>
      </c>
      <c r="E100" s="4">
        <f t="shared" si="16"/>
        <v>1516.9757302460362</v>
      </c>
      <c r="F100" s="1">
        <f t="shared" si="11"/>
        <v>278744.51637280395</v>
      </c>
      <c r="G100" s="1">
        <f t="shared" si="12"/>
        <v>35.032686512881249</v>
      </c>
      <c r="H100" s="4">
        <f t="shared" si="13"/>
        <v>2369.4377687261467</v>
      </c>
    </row>
    <row r="101" spans="1:8" x14ac:dyDescent="0.25">
      <c r="A101">
        <f t="shared" si="14"/>
        <v>94</v>
      </c>
      <c r="B101" s="1">
        <f t="shared" si="15"/>
        <v>278744.51637280395</v>
      </c>
      <c r="C101" s="4">
        <f t="shared" si="9"/>
        <v>2334.4050822132654</v>
      </c>
      <c r="D101" s="1">
        <f t="shared" si="10"/>
        <v>813.00483942067831</v>
      </c>
      <c r="E101" s="4">
        <f t="shared" si="16"/>
        <v>1521.4002427925871</v>
      </c>
      <c r="F101" s="1">
        <f t="shared" si="11"/>
        <v>277223.11613001139</v>
      </c>
      <c r="G101" s="1">
        <f t="shared" si="12"/>
        <v>34.843064546600495</v>
      </c>
      <c r="H101" s="4">
        <f t="shared" si="13"/>
        <v>2369.2481467598659</v>
      </c>
    </row>
    <row r="102" spans="1:8" x14ac:dyDescent="0.25">
      <c r="A102">
        <f t="shared" si="14"/>
        <v>95</v>
      </c>
      <c r="B102" s="1">
        <f t="shared" si="15"/>
        <v>277223.11613001139</v>
      </c>
      <c r="C102" s="4">
        <f t="shared" si="9"/>
        <v>2334.4050822132654</v>
      </c>
      <c r="D102" s="1">
        <f t="shared" si="10"/>
        <v>808.56742204586669</v>
      </c>
      <c r="E102" s="4">
        <f t="shared" si="16"/>
        <v>1525.8376601673986</v>
      </c>
      <c r="F102" s="1">
        <f t="shared" si="11"/>
        <v>275697.27846984396</v>
      </c>
      <c r="G102" s="1">
        <f t="shared" si="12"/>
        <v>34.652889516251427</v>
      </c>
      <c r="H102" s="4">
        <f t="shared" si="13"/>
        <v>2369.0579717295168</v>
      </c>
    </row>
    <row r="103" spans="1:8" x14ac:dyDescent="0.25">
      <c r="A103">
        <f t="shared" si="14"/>
        <v>96</v>
      </c>
      <c r="B103" s="1">
        <f t="shared" si="15"/>
        <v>275697.27846984396</v>
      </c>
      <c r="C103" s="4">
        <f t="shared" si="9"/>
        <v>2334.4050822132654</v>
      </c>
      <c r="D103" s="1">
        <f t="shared" si="10"/>
        <v>804.11706220371161</v>
      </c>
      <c r="E103" s="4">
        <f t="shared" si="16"/>
        <v>1530.2880200095537</v>
      </c>
      <c r="F103" s="1">
        <f t="shared" si="11"/>
        <v>274166.99044983438</v>
      </c>
      <c r="G103" s="1">
        <f t="shared" si="12"/>
        <v>34.462159808730497</v>
      </c>
      <c r="H103" s="4">
        <f t="shared" si="13"/>
        <v>2368.8672420219959</v>
      </c>
    </row>
    <row r="104" spans="1:8" x14ac:dyDescent="0.25">
      <c r="A104">
        <f t="shared" si="14"/>
        <v>97</v>
      </c>
      <c r="B104" s="1">
        <f t="shared" si="15"/>
        <v>274166.99044983438</v>
      </c>
      <c r="C104" s="4">
        <f t="shared" si="9"/>
        <v>2334.4050822132654</v>
      </c>
      <c r="D104" s="1">
        <f t="shared" si="10"/>
        <v>799.65372214535034</v>
      </c>
      <c r="E104" s="4">
        <f t="shared" si="16"/>
        <v>1534.7513600679149</v>
      </c>
      <c r="F104" s="1">
        <f t="shared" si="11"/>
        <v>272632.23908976646</v>
      </c>
      <c r="G104" s="1">
        <f t="shared" si="12"/>
        <v>34.270873806229297</v>
      </c>
      <c r="H104" s="4">
        <f t="shared" si="13"/>
        <v>2368.6759560194946</v>
      </c>
    </row>
    <row r="105" spans="1:8" x14ac:dyDescent="0.25">
      <c r="A105">
        <f t="shared" si="14"/>
        <v>98</v>
      </c>
      <c r="B105" s="1">
        <f t="shared" si="15"/>
        <v>272632.23908976646</v>
      </c>
      <c r="C105" s="4">
        <f t="shared" si="9"/>
        <v>2334.4050822132654</v>
      </c>
      <c r="D105" s="1">
        <f t="shared" si="10"/>
        <v>795.1773640118189</v>
      </c>
      <c r="E105" s="4">
        <f t="shared" si="16"/>
        <v>1539.2277182014464</v>
      </c>
      <c r="F105" s="1">
        <f t="shared" si="11"/>
        <v>271093.01137156499</v>
      </c>
      <c r="G105" s="1">
        <f t="shared" si="12"/>
        <v>34.079029886220809</v>
      </c>
      <c r="H105" s="4">
        <f t="shared" si="13"/>
        <v>2368.4841120994861</v>
      </c>
    </row>
    <row r="106" spans="1:8" x14ac:dyDescent="0.25">
      <c r="A106">
        <f t="shared" si="14"/>
        <v>99</v>
      </c>
      <c r="B106" s="1">
        <f t="shared" si="15"/>
        <v>271093.01137156499</v>
      </c>
      <c r="C106" s="4">
        <f t="shared" si="9"/>
        <v>2334.4050822132654</v>
      </c>
      <c r="D106" s="1">
        <f t="shared" si="10"/>
        <v>790.6879498337313</v>
      </c>
      <c r="E106" s="4">
        <f t="shared" si="16"/>
        <v>1543.7171323795342</v>
      </c>
      <c r="F106" s="1">
        <f t="shared" si="11"/>
        <v>269549.29423918546</v>
      </c>
      <c r="G106" s="1">
        <f t="shared" si="12"/>
        <v>33.886626421445627</v>
      </c>
      <c r="H106" s="4">
        <f t="shared" si="13"/>
        <v>2368.2917086347111</v>
      </c>
    </row>
    <row r="107" spans="1:8" x14ac:dyDescent="0.25">
      <c r="A107">
        <f t="shared" si="14"/>
        <v>100</v>
      </c>
      <c r="B107" s="1">
        <f t="shared" si="15"/>
        <v>269549.29423918546</v>
      </c>
      <c r="C107" s="4">
        <f t="shared" si="9"/>
        <v>2334.4050822132654</v>
      </c>
      <c r="D107" s="1">
        <f t="shared" si="10"/>
        <v>786.18544153095763</v>
      </c>
      <c r="E107" s="4">
        <f t="shared" si="16"/>
        <v>1548.2196406823077</v>
      </c>
      <c r="F107" s="1">
        <f t="shared" si="11"/>
        <v>268001.07459850312</v>
      </c>
      <c r="G107" s="1">
        <f t="shared" si="12"/>
        <v>33.693661779898186</v>
      </c>
      <c r="H107" s="4">
        <f t="shared" si="13"/>
        <v>2368.0987439931637</v>
      </c>
    </row>
    <row r="108" spans="1:8" x14ac:dyDescent="0.25">
      <c r="A108">
        <f t="shared" si="14"/>
        <v>101</v>
      </c>
      <c r="B108" s="1">
        <f t="shared" si="15"/>
        <v>268001.07459850312</v>
      </c>
      <c r="C108" s="4">
        <f t="shared" si="9"/>
        <v>2334.4050822132654</v>
      </c>
      <c r="D108" s="1">
        <f t="shared" si="10"/>
        <v>781.66980091230096</v>
      </c>
      <c r="E108" s="4">
        <f t="shared" si="16"/>
        <v>1552.7352813009643</v>
      </c>
      <c r="F108" s="1">
        <f t="shared" si="11"/>
        <v>266448.33931720216</v>
      </c>
      <c r="G108" s="1">
        <f t="shared" si="12"/>
        <v>33.50013432481289</v>
      </c>
      <c r="H108" s="4">
        <f t="shared" si="13"/>
        <v>2367.9052165380781</v>
      </c>
    </row>
    <row r="109" spans="1:8" x14ac:dyDescent="0.25">
      <c r="A109">
        <f>A108+1</f>
        <v>102</v>
      </c>
      <c r="B109" s="1">
        <f t="shared" si="15"/>
        <v>266448.33931720216</v>
      </c>
      <c r="C109" s="4">
        <f t="shared" si="9"/>
        <v>2334.4050822132654</v>
      </c>
      <c r="D109" s="1">
        <f t="shared" si="10"/>
        <v>777.14098967517305</v>
      </c>
      <c r="E109" s="4">
        <f t="shared" si="16"/>
        <v>1557.2640925380924</v>
      </c>
      <c r="F109" s="1">
        <f t="shared" si="11"/>
        <v>264891.07522466406</v>
      </c>
      <c r="G109" s="1">
        <f t="shared" si="12"/>
        <v>33.306042414650271</v>
      </c>
      <c r="H109" s="4">
        <f t="shared" si="13"/>
        <v>2367.7111246279155</v>
      </c>
    </row>
    <row r="110" spans="1:8" x14ac:dyDescent="0.25">
      <c r="A110">
        <f t="shared" ref="A110:A122" si="17">A109+1</f>
        <v>103</v>
      </c>
      <c r="B110" s="1">
        <f t="shared" si="15"/>
        <v>264891.07522466406</v>
      </c>
      <c r="C110" s="4">
        <f t="shared" si="9"/>
        <v>2334.4050822132654</v>
      </c>
      <c r="D110" s="1">
        <f t="shared" si="10"/>
        <v>772.59896940527017</v>
      </c>
      <c r="E110" s="4">
        <f t="shared" si="16"/>
        <v>1561.8061128079953</v>
      </c>
      <c r="F110" s="1">
        <f t="shared" si="11"/>
        <v>263329.26911185606</v>
      </c>
      <c r="G110" s="1">
        <f t="shared" si="12"/>
        <v>33.111384403083008</v>
      </c>
      <c r="H110" s="4">
        <f t="shared" si="13"/>
        <v>2367.5164666163482</v>
      </c>
    </row>
    <row r="111" spans="1:8" x14ac:dyDescent="0.25">
      <c r="A111">
        <f t="shared" si="17"/>
        <v>104</v>
      </c>
      <c r="B111" s="1">
        <f t="shared" si="15"/>
        <v>263329.26911185606</v>
      </c>
      <c r="C111" s="4">
        <f t="shared" si="9"/>
        <v>2334.4050822132654</v>
      </c>
      <c r="D111" s="1">
        <f t="shared" si="10"/>
        <v>768.04370157624692</v>
      </c>
      <c r="E111" s="4">
        <f t="shared" si="16"/>
        <v>1566.3613806370186</v>
      </c>
      <c r="F111" s="1">
        <f t="shared" si="11"/>
        <v>261762.90773121905</v>
      </c>
      <c r="G111" s="1">
        <f t="shared" si="12"/>
        <v>32.916158638982004</v>
      </c>
      <c r="H111" s="4">
        <f t="shared" si="13"/>
        <v>2367.3212408522472</v>
      </c>
    </row>
    <row r="112" spans="1:8" x14ac:dyDescent="0.25">
      <c r="A112">
        <f t="shared" si="17"/>
        <v>105</v>
      </c>
      <c r="B112" s="1">
        <f t="shared" si="15"/>
        <v>261762.90773121905</v>
      </c>
      <c r="C112" s="4">
        <f t="shared" si="9"/>
        <v>2334.4050822132654</v>
      </c>
      <c r="D112" s="1">
        <f t="shared" si="10"/>
        <v>763.47514754938902</v>
      </c>
      <c r="E112" s="4">
        <f t="shared" si="16"/>
        <v>1570.9299346638763</v>
      </c>
      <c r="F112" s="1">
        <f t="shared" si="11"/>
        <v>260191.97779655518</v>
      </c>
      <c r="G112" s="1">
        <f t="shared" si="12"/>
        <v>32.720363466402382</v>
      </c>
      <c r="H112" s="4">
        <f t="shared" si="13"/>
        <v>2367.1254456796678</v>
      </c>
    </row>
    <row r="113" spans="1:8" x14ac:dyDescent="0.25">
      <c r="A113">
        <f t="shared" si="17"/>
        <v>106</v>
      </c>
      <c r="B113" s="1">
        <f t="shared" si="15"/>
        <v>260191.97779655518</v>
      </c>
      <c r="C113" s="4">
        <f t="shared" si="9"/>
        <v>2334.4050822132654</v>
      </c>
      <c r="D113" s="1">
        <f t="shared" si="10"/>
        <v>758.89326857328604</v>
      </c>
      <c r="E113" s="4">
        <f t="shared" si="16"/>
        <v>1575.5118136399792</v>
      </c>
      <c r="F113" s="1">
        <f t="shared" si="11"/>
        <v>258616.46598291519</v>
      </c>
      <c r="G113" s="1">
        <f t="shared" si="12"/>
        <v>32.523997224569399</v>
      </c>
      <c r="H113" s="4">
        <f t="shared" si="13"/>
        <v>2366.9290794378348</v>
      </c>
    </row>
    <row r="114" spans="1:8" x14ac:dyDescent="0.25">
      <c r="A114">
        <f t="shared" si="17"/>
        <v>107</v>
      </c>
      <c r="B114" s="1">
        <f t="shared" si="15"/>
        <v>258616.46598291519</v>
      </c>
      <c r="C114" s="4">
        <f t="shared" si="9"/>
        <v>2334.4050822132654</v>
      </c>
      <c r="D114" s="1">
        <f t="shared" si="10"/>
        <v>754.29802578350279</v>
      </c>
      <c r="E114" s="4">
        <f t="shared" si="16"/>
        <v>1580.1070564297625</v>
      </c>
      <c r="F114" s="1">
        <f t="shared" si="11"/>
        <v>257036.35892648544</v>
      </c>
      <c r="G114" s="1">
        <f t="shared" si="12"/>
        <v>32.3270582478644</v>
      </c>
      <c r="H114" s="4">
        <f t="shared" si="13"/>
        <v>2366.7321404611298</v>
      </c>
    </row>
    <row r="115" spans="1:8" x14ac:dyDescent="0.25">
      <c r="A115">
        <f t="shared" si="17"/>
        <v>108</v>
      </c>
      <c r="B115" s="1">
        <f t="shared" si="15"/>
        <v>257036.35892648544</v>
      </c>
      <c r="C115" s="4">
        <f t="shared" si="9"/>
        <v>2334.4050822132654</v>
      </c>
      <c r="D115" s="1">
        <f t="shared" si="10"/>
        <v>749.68938020224925</v>
      </c>
      <c r="E115" s="4">
        <f t="shared" si="16"/>
        <v>1584.7157020110162</v>
      </c>
      <c r="F115" s="1">
        <f t="shared" si="11"/>
        <v>255451.64322447442</v>
      </c>
      <c r="G115" s="1">
        <f t="shared" si="12"/>
        <v>32.129544865810679</v>
      </c>
      <c r="H115" s="4">
        <f t="shared" si="13"/>
        <v>2366.534627079076</v>
      </c>
    </row>
    <row r="116" spans="1:8" x14ac:dyDescent="0.25">
      <c r="A116">
        <f t="shared" si="17"/>
        <v>109</v>
      </c>
      <c r="B116" s="1">
        <f t="shared" si="15"/>
        <v>255451.64322447442</v>
      </c>
      <c r="C116" s="4">
        <f t="shared" si="9"/>
        <v>2334.4050822132654</v>
      </c>
      <c r="D116" s="1">
        <f t="shared" si="10"/>
        <v>745.06729273805047</v>
      </c>
      <c r="E116" s="4">
        <f t="shared" si="16"/>
        <v>1589.3377894752148</v>
      </c>
      <c r="F116" s="1">
        <f t="shared" si="11"/>
        <v>253862.3054349992</v>
      </c>
      <c r="G116" s="1">
        <f t="shared" si="12"/>
        <v>31.931455403059303</v>
      </c>
      <c r="H116" s="4">
        <f t="shared" si="13"/>
        <v>2366.3365376163247</v>
      </c>
    </row>
    <row r="117" spans="1:8" x14ac:dyDescent="0.25">
      <c r="A117">
        <f t="shared" si="17"/>
        <v>110</v>
      </c>
      <c r="B117" s="1">
        <f t="shared" si="15"/>
        <v>253862.3054349992</v>
      </c>
      <c r="C117" s="4">
        <f t="shared" si="9"/>
        <v>2334.4050822132654</v>
      </c>
      <c r="D117" s="1">
        <f t="shared" si="10"/>
        <v>740.43172418541451</v>
      </c>
      <c r="E117" s="4">
        <f t="shared" si="16"/>
        <v>1593.9733580278507</v>
      </c>
      <c r="F117" s="1">
        <f t="shared" si="11"/>
        <v>252268.33207697136</v>
      </c>
      <c r="G117" s="1">
        <f t="shared" si="12"/>
        <v>31.732788179374904</v>
      </c>
      <c r="H117" s="4">
        <f t="shared" si="13"/>
        <v>2366.1378703926403</v>
      </c>
    </row>
    <row r="118" spans="1:8" x14ac:dyDescent="0.25">
      <c r="A118">
        <f t="shared" si="17"/>
        <v>111</v>
      </c>
      <c r="B118" s="1">
        <f t="shared" si="15"/>
        <v>252268.33207697136</v>
      </c>
      <c r="C118" s="4">
        <f t="shared" si="9"/>
        <v>2334.4050822132654</v>
      </c>
      <c r="D118" s="1">
        <f t="shared" si="10"/>
        <v>735.78263522449981</v>
      </c>
      <c r="E118" s="4">
        <f t="shared" si="16"/>
        <v>1598.6224469887657</v>
      </c>
      <c r="F118" s="1">
        <f t="shared" si="11"/>
        <v>250669.70962998259</v>
      </c>
      <c r="G118" s="1">
        <f t="shared" si="12"/>
        <v>31.533541509621418</v>
      </c>
      <c r="H118" s="4">
        <f t="shared" si="13"/>
        <v>2365.9386237228869</v>
      </c>
    </row>
    <row r="119" spans="1:8" x14ac:dyDescent="0.25">
      <c r="A119">
        <f t="shared" si="17"/>
        <v>112</v>
      </c>
      <c r="B119" s="1">
        <f t="shared" si="15"/>
        <v>250669.70962998259</v>
      </c>
      <c r="C119" s="4">
        <f t="shared" si="9"/>
        <v>2334.4050822132654</v>
      </c>
      <c r="D119" s="1">
        <f t="shared" si="10"/>
        <v>731.11998642078254</v>
      </c>
      <c r="E119" s="4">
        <f t="shared" si="16"/>
        <v>1603.2850957924829</v>
      </c>
      <c r="F119" s="1">
        <f t="shared" si="11"/>
        <v>249066.4245341901</v>
      </c>
      <c r="G119" s="1">
        <f t="shared" si="12"/>
        <v>31.333713703747822</v>
      </c>
      <c r="H119" s="4">
        <f t="shared" si="13"/>
        <v>2365.7387959170132</v>
      </c>
    </row>
    <row r="120" spans="1:8" x14ac:dyDescent="0.25">
      <c r="A120">
        <f t="shared" si="17"/>
        <v>113</v>
      </c>
      <c r="B120" s="1">
        <f t="shared" si="15"/>
        <v>249066.4245341901</v>
      </c>
      <c r="C120" s="4">
        <f t="shared" si="9"/>
        <v>2334.4050822132654</v>
      </c>
      <c r="D120" s="1">
        <f t="shared" si="10"/>
        <v>726.44373822472119</v>
      </c>
      <c r="E120" s="4">
        <f t="shared" si="16"/>
        <v>1607.9613439885443</v>
      </c>
      <c r="F120" s="1">
        <f t="shared" si="11"/>
        <v>247458.46319020155</v>
      </c>
      <c r="G120" s="1">
        <f t="shared" si="12"/>
        <v>31.133303066773763</v>
      </c>
      <c r="H120" s="4">
        <f t="shared" si="13"/>
        <v>2365.5383852800392</v>
      </c>
    </row>
    <row r="121" spans="1:8" x14ac:dyDescent="0.25">
      <c r="A121">
        <f t="shared" si="17"/>
        <v>114</v>
      </c>
      <c r="B121" s="1">
        <f t="shared" si="15"/>
        <v>247458.46319020155</v>
      </c>
      <c r="C121" s="4">
        <f t="shared" si="9"/>
        <v>2334.4050822132654</v>
      </c>
      <c r="D121" s="1">
        <f t="shared" si="10"/>
        <v>721.75385097142123</v>
      </c>
      <c r="E121" s="4">
        <f t="shared" si="16"/>
        <v>1612.651231241844</v>
      </c>
      <c r="F121" s="1">
        <f t="shared" si="11"/>
        <v>245845.8119589597</v>
      </c>
      <c r="G121" s="1">
        <f t="shared" si="12"/>
        <v>30.932307898775193</v>
      </c>
      <c r="H121" s="4">
        <f t="shared" si="13"/>
        <v>2365.3373901120403</v>
      </c>
    </row>
    <row r="122" spans="1:8" x14ac:dyDescent="0.25">
      <c r="A122">
        <f t="shared" si="17"/>
        <v>115</v>
      </c>
      <c r="B122" s="1">
        <f t="shared" si="15"/>
        <v>245845.8119589597</v>
      </c>
      <c r="C122" s="4">
        <f t="shared" si="9"/>
        <v>2334.4050822132654</v>
      </c>
      <c r="D122" s="1">
        <f t="shared" si="10"/>
        <v>717.05028488029927</v>
      </c>
      <c r="E122" s="4">
        <f t="shared" si="16"/>
        <v>1617.354797332966</v>
      </c>
      <c r="F122" s="1">
        <f t="shared" si="11"/>
        <v>244228.45716162675</v>
      </c>
      <c r="G122" s="1">
        <f t="shared" si="12"/>
        <v>30.730726494869966</v>
      </c>
      <c r="H122" s="4">
        <f t="shared" si="13"/>
        <v>2365.1358087081353</v>
      </c>
    </row>
    <row r="123" spans="1:8" x14ac:dyDescent="0.25">
      <c r="A123">
        <f>A122+1</f>
        <v>116</v>
      </c>
      <c r="B123" s="1">
        <f t="shared" si="15"/>
        <v>244228.45716162675</v>
      </c>
      <c r="C123" s="4">
        <f t="shared" si="9"/>
        <v>2334.4050822132654</v>
      </c>
      <c r="D123" s="1">
        <f t="shared" si="10"/>
        <v>712.33300005474473</v>
      </c>
      <c r="E123" s="4">
        <f t="shared" si="16"/>
        <v>1622.0720821585205</v>
      </c>
      <c r="F123" s="1">
        <f t="shared" si="11"/>
        <v>242606.38507946822</v>
      </c>
      <c r="G123" s="1">
        <f t="shared" si="12"/>
        <v>30.528557145203347</v>
      </c>
      <c r="H123" s="4">
        <f t="shared" si="13"/>
        <v>2364.9336393584686</v>
      </c>
    </row>
    <row r="124" spans="1:8" x14ac:dyDescent="0.25">
      <c r="A124">
        <f t="shared" ref="A124:A136" si="18">A123+1</f>
        <v>117</v>
      </c>
      <c r="B124" s="1">
        <f t="shared" si="15"/>
        <v>242606.38507946822</v>
      </c>
      <c r="C124" s="4">
        <f t="shared" si="9"/>
        <v>2334.4050822132654</v>
      </c>
      <c r="D124" s="1">
        <f t="shared" si="10"/>
        <v>707.60195648178239</v>
      </c>
      <c r="E124" s="4">
        <f t="shared" si="16"/>
        <v>1626.8031257314829</v>
      </c>
      <c r="F124" s="1">
        <f t="shared" si="11"/>
        <v>240979.58195373675</v>
      </c>
      <c r="G124" s="1">
        <f t="shared" si="12"/>
        <v>30.325798134933532</v>
      </c>
      <c r="H124" s="4">
        <f t="shared" si="13"/>
        <v>2364.7308803481988</v>
      </c>
    </row>
    <row r="125" spans="1:8" x14ac:dyDescent="0.25">
      <c r="A125">
        <f t="shared" si="18"/>
        <v>118</v>
      </c>
      <c r="B125" s="1">
        <f t="shared" si="15"/>
        <v>240979.58195373675</v>
      </c>
      <c r="C125" s="4">
        <f t="shared" si="9"/>
        <v>2334.4050822132654</v>
      </c>
      <c r="D125" s="1">
        <f t="shared" si="10"/>
        <v>702.85711403173218</v>
      </c>
      <c r="E125" s="4">
        <f t="shared" si="16"/>
        <v>1631.5479681815332</v>
      </c>
      <c r="F125" s="1">
        <f t="shared" si="11"/>
        <v>239348.03398555523</v>
      </c>
      <c r="G125" s="1">
        <f t="shared" si="12"/>
        <v>30.122447744217094</v>
      </c>
      <c r="H125" s="4">
        <f t="shared" si="13"/>
        <v>2364.5275299574823</v>
      </c>
    </row>
    <row r="126" spans="1:8" x14ac:dyDescent="0.25">
      <c r="A126">
        <f t="shared" si="18"/>
        <v>119</v>
      </c>
      <c r="B126" s="1">
        <f t="shared" si="15"/>
        <v>239348.03398555523</v>
      </c>
      <c r="C126" s="4">
        <f t="shared" si="9"/>
        <v>2334.4050822132654</v>
      </c>
      <c r="D126" s="1">
        <f t="shared" si="10"/>
        <v>698.09843245786942</v>
      </c>
      <c r="E126" s="4">
        <f t="shared" si="16"/>
        <v>1636.3066497553959</v>
      </c>
      <c r="F126" s="1">
        <f t="shared" si="11"/>
        <v>237711.72733579983</v>
      </c>
      <c r="G126" s="1">
        <f t="shared" si="12"/>
        <v>29.918504248194406</v>
      </c>
      <c r="H126" s="4">
        <f t="shared" si="13"/>
        <v>2364.3235864614599</v>
      </c>
    </row>
    <row r="127" spans="1:8" x14ac:dyDescent="0.25">
      <c r="A127">
        <f t="shared" si="18"/>
        <v>120</v>
      </c>
      <c r="B127" s="1">
        <f t="shared" si="15"/>
        <v>237711.72733579983</v>
      </c>
      <c r="C127" s="4">
        <f t="shared" si="9"/>
        <v>2334.4050822132654</v>
      </c>
      <c r="D127" s="1">
        <f t="shared" si="10"/>
        <v>693.32587139608302</v>
      </c>
      <c r="E127" s="4">
        <f t="shared" si="16"/>
        <v>1641.0792108171822</v>
      </c>
      <c r="F127" s="1">
        <f t="shared" si="11"/>
        <v>236070.64812498266</v>
      </c>
      <c r="G127" s="1">
        <f t="shared" si="12"/>
        <v>29.713965916974981</v>
      </c>
      <c r="H127" s="4">
        <f t="shared" si="13"/>
        <v>2364.1190481302401</v>
      </c>
    </row>
    <row r="128" spans="1:8" x14ac:dyDescent="0.25">
      <c r="A128">
        <f t="shared" si="18"/>
        <v>121</v>
      </c>
      <c r="B128" s="1">
        <f t="shared" si="15"/>
        <v>236070.64812498266</v>
      </c>
      <c r="C128" s="4">
        <f t="shared" si="9"/>
        <v>2334.4050822132654</v>
      </c>
      <c r="D128" s="1">
        <f t="shared" si="10"/>
        <v>688.53939036453278</v>
      </c>
      <c r="E128" s="4">
        <f t="shared" si="16"/>
        <v>1645.8656918487327</v>
      </c>
      <c r="F128" s="1">
        <f t="shared" si="11"/>
        <v>234424.78243313392</v>
      </c>
      <c r="G128" s="1">
        <f t="shared" si="12"/>
        <v>29.508831015622832</v>
      </c>
      <c r="H128" s="4">
        <f t="shared" si="13"/>
        <v>2363.9139132288883</v>
      </c>
    </row>
    <row r="129" spans="1:8" x14ac:dyDescent="0.25">
      <c r="A129">
        <f t="shared" si="18"/>
        <v>122</v>
      </c>
      <c r="B129" s="1">
        <f t="shared" si="15"/>
        <v>234424.78243313392</v>
      </c>
      <c r="C129" s="4">
        <f t="shared" si="9"/>
        <v>2334.4050822132654</v>
      </c>
      <c r="D129" s="1">
        <f t="shared" si="10"/>
        <v>683.73894876330735</v>
      </c>
      <c r="E129" s="4">
        <f t="shared" si="16"/>
        <v>1650.6661334499581</v>
      </c>
      <c r="F129" s="1">
        <f t="shared" si="11"/>
        <v>232774.11629968396</v>
      </c>
      <c r="G129" s="1">
        <f t="shared" si="12"/>
        <v>29.303097804141743</v>
      </c>
      <c r="H129" s="4">
        <f t="shared" si="13"/>
        <v>2363.7081800174069</v>
      </c>
    </row>
    <row r="130" spans="1:8" x14ac:dyDescent="0.25">
      <c r="A130">
        <f t="shared" si="18"/>
        <v>123</v>
      </c>
      <c r="B130" s="1">
        <f t="shared" si="15"/>
        <v>232774.11629968396</v>
      </c>
      <c r="C130" s="4">
        <f t="shared" si="9"/>
        <v>2334.4050822132654</v>
      </c>
      <c r="D130" s="1">
        <f t="shared" si="10"/>
        <v>678.92450587407825</v>
      </c>
      <c r="E130" s="4">
        <f t="shared" si="16"/>
        <v>1655.4805763391871</v>
      </c>
      <c r="F130" s="1">
        <f t="shared" si="11"/>
        <v>231118.63572334478</v>
      </c>
      <c r="G130" s="1">
        <f t="shared" si="12"/>
        <v>29.096764537460498</v>
      </c>
      <c r="H130" s="4">
        <f t="shared" si="13"/>
        <v>2363.5018467507257</v>
      </c>
    </row>
    <row r="131" spans="1:8" x14ac:dyDescent="0.25">
      <c r="A131">
        <f t="shared" si="18"/>
        <v>124</v>
      </c>
      <c r="B131" s="1">
        <f t="shared" si="15"/>
        <v>231118.63572334478</v>
      </c>
      <c r="C131" s="4">
        <f t="shared" si="9"/>
        <v>2334.4050822132654</v>
      </c>
      <c r="D131" s="1">
        <f t="shared" si="10"/>
        <v>674.09602085975564</v>
      </c>
      <c r="E131" s="4">
        <f t="shared" si="16"/>
        <v>1660.3090613535096</v>
      </c>
      <c r="F131" s="1">
        <f t="shared" si="11"/>
        <v>229458.32666199128</v>
      </c>
      <c r="G131" s="1">
        <f t="shared" si="12"/>
        <v>28.889829465418099</v>
      </c>
      <c r="H131" s="4">
        <f t="shared" si="13"/>
        <v>2363.2949116786835</v>
      </c>
    </row>
    <row r="132" spans="1:8" x14ac:dyDescent="0.25">
      <c r="A132">
        <f t="shared" si="18"/>
        <v>125</v>
      </c>
      <c r="B132" s="1">
        <f t="shared" si="15"/>
        <v>229458.32666199128</v>
      </c>
      <c r="C132" s="4">
        <f t="shared" si="9"/>
        <v>2334.4050822132654</v>
      </c>
      <c r="D132" s="1">
        <f t="shared" si="10"/>
        <v>669.25345276414134</v>
      </c>
      <c r="E132" s="4">
        <f t="shared" si="16"/>
        <v>1665.1516294491239</v>
      </c>
      <c r="F132" s="1">
        <f t="shared" si="11"/>
        <v>227793.17503254215</v>
      </c>
      <c r="G132" s="1">
        <f t="shared" si="12"/>
        <v>28.682290832748908</v>
      </c>
      <c r="H132" s="4">
        <f t="shared" si="13"/>
        <v>2363.0873730460144</v>
      </c>
    </row>
    <row r="133" spans="1:8" x14ac:dyDescent="0.25">
      <c r="A133">
        <f t="shared" si="18"/>
        <v>126</v>
      </c>
      <c r="B133" s="1">
        <f t="shared" si="15"/>
        <v>227793.17503254215</v>
      </c>
      <c r="C133" s="4">
        <f t="shared" si="9"/>
        <v>2334.4050822132654</v>
      </c>
      <c r="D133" s="1">
        <f t="shared" si="10"/>
        <v>664.39676051158131</v>
      </c>
      <c r="E133" s="4">
        <f t="shared" si="16"/>
        <v>1670.0083217016841</v>
      </c>
      <c r="F133" s="1">
        <f t="shared" si="11"/>
        <v>226123.16671084045</v>
      </c>
      <c r="G133" s="1">
        <f t="shared" si="12"/>
        <v>28.474146879067771</v>
      </c>
      <c r="H133" s="4">
        <f t="shared" si="13"/>
        <v>2362.8792290923329</v>
      </c>
    </row>
    <row r="134" spans="1:8" x14ac:dyDescent="0.25">
      <c r="A134">
        <f t="shared" si="18"/>
        <v>127</v>
      </c>
      <c r="B134" s="1">
        <f t="shared" si="15"/>
        <v>226123.16671084045</v>
      </c>
      <c r="C134" s="4">
        <f t="shared" si="9"/>
        <v>2334.4050822132654</v>
      </c>
      <c r="D134" s="1">
        <f t="shared" si="10"/>
        <v>659.52590290661806</v>
      </c>
      <c r="E134" s="4">
        <f t="shared" si="16"/>
        <v>1674.8791793066473</v>
      </c>
      <c r="F134" s="1">
        <f t="shared" si="11"/>
        <v>224448.2875315338</v>
      </c>
      <c r="G134" s="1">
        <f t="shared" si="12"/>
        <v>28.265395838855056</v>
      </c>
      <c r="H134" s="4">
        <f t="shared" si="13"/>
        <v>2362.6704780521204</v>
      </c>
    </row>
    <row r="135" spans="1:8" x14ac:dyDescent="0.25">
      <c r="A135">
        <f t="shared" si="18"/>
        <v>128</v>
      </c>
      <c r="B135" s="1">
        <f t="shared" si="15"/>
        <v>224448.2875315338</v>
      </c>
      <c r="C135" s="4">
        <f t="shared" si="9"/>
        <v>2334.4050822132654</v>
      </c>
      <c r="D135" s="1">
        <f t="shared" si="10"/>
        <v>654.64083863364033</v>
      </c>
      <c r="E135" s="4">
        <f t="shared" si="16"/>
        <v>1679.7642435796251</v>
      </c>
      <c r="F135" s="1">
        <f t="shared" si="11"/>
        <v>222768.52328795419</v>
      </c>
      <c r="G135" s="1">
        <f t="shared" si="12"/>
        <v>28.056035941441724</v>
      </c>
      <c r="H135" s="4">
        <f t="shared" si="13"/>
        <v>2362.461118154707</v>
      </c>
    </row>
    <row r="136" spans="1:8" x14ac:dyDescent="0.25">
      <c r="A136">
        <f t="shared" si="18"/>
        <v>129</v>
      </c>
      <c r="B136" s="1">
        <f t="shared" si="15"/>
        <v>222768.52328795419</v>
      </c>
      <c r="C136" s="4">
        <f t="shared" si="9"/>
        <v>2334.4050822132654</v>
      </c>
      <c r="D136" s="1">
        <f t="shared" si="10"/>
        <v>649.74152625653312</v>
      </c>
      <c r="E136" s="4">
        <f t="shared" si="16"/>
        <v>1684.6635559567321</v>
      </c>
      <c r="F136" s="1">
        <f t="shared" si="11"/>
        <v>221083.85973199745</v>
      </c>
      <c r="G136" s="1">
        <f t="shared" si="12"/>
        <v>27.846065410994274</v>
      </c>
      <c r="H136" s="4">
        <f t="shared" si="13"/>
        <v>2362.2511476242598</v>
      </c>
    </row>
    <row r="137" spans="1:8" x14ac:dyDescent="0.25">
      <c r="A137">
        <f>A136+1</f>
        <v>130</v>
      </c>
      <c r="B137" s="1">
        <f t="shared" si="15"/>
        <v>221083.85973199745</v>
      </c>
      <c r="C137" s="4">
        <f t="shared" ref="C137:C200" si="19">IF(A137&lt;=$C$3*12,$C$5,0)</f>
        <v>2334.4050822132654</v>
      </c>
      <c r="D137" s="1">
        <f t="shared" ref="D137:D200" si="20">B137*$C$2/12</f>
        <v>644.82792421832596</v>
      </c>
      <c r="E137" s="4">
        <f t="shared" si="16"/>
        <v>1689.5771579949394</v>
      </c>
      <c r="F137" s="1">
        <f t="shared" ref="F137:F200" si="21">MAX(B137-E137,0)</f>
        <v>219394.28257400251</v>
      </c>
      <c r="G137" s="1">
        <f t="shared" ref="G137:G200" si="22">IF(A137&lt;=$C$3*12,B137*$C$4/12,0)</f>
        <v>27.635482466499681</v>
      </c>
      <c r="H137" s="4">
        <f t="shared" ref="H137:H200" si="23">C137+G137</f>
        <v>2362.0405646797649</v>
      </c>
    </row>
    <row r="138" spans="1:8" x14ac:dyDescent="0.25">
      <c r="A138">
        <f t="shared" ref="A138:A156" si="24">A137+1</f>
        <v>131</v>
      </c>
      <c r="B138" s="1">
        <f t="shared" ref="B138:B201" si="25">F137</f>
        <v>219394.28257400251</v>
      </c>
      <c r="C138" s="4">
        <f t="shared" si="19"/>
        <v>2334.4050822132654</v>
      </c>
      <c r="D138" s="1">
        <f t="shared" si="20"/>
        <v>639.8999908408407</v>
      </c>
      <c r="E138" s="4">
        <f t="shared" ref="E138:E201" si="26">IF(C138-D138&lt;0,0,C138-D138)</f>
        <v>1694.5050913724247</v>
      </c>
      <c r="F138" s="1">
        <f t="shared" si="21"/>
        <v>217699.7774826301</v>
      </c>
      <c r="G138" s="1">
        <f t="shared" si="22"/>
        <v>27.424285321750315</v>
      </c>
      <c r="H138" s="4">
        <f t="shared" si="23"/>
        <v>2361.8293675350155</v>
      </c>
    </row>
    <row r="139" spans="1:8" x14ac:dyDescent="0.25">
      <c r="A139">
        <f t="shared" si="24"/>
        <v>132</v>
      </c>
      <c r="B139" s="1">
        <f t="shared" si="25"/>
        <v>217699.7774826301</v>
      </c>
      <c r="C139" s="4">
        <f t="shared" si="19"/>
        <v>2334.4050822132654</v>
      </c>
      <c r="D139" s="1">
        <f t="shared" si="20"/>
        <v>634.95768432433783</v>
      </c>
      <c r="E139" s="4">
        <f t="shared" si="26"/>
        <v>1699.4473978889275</v>
      </c>
      <c r="F139" s="1">
        <f t="shared" si="21"/>
        <v>216000.33008474117</v>
      </c>
      <c r="G139" s="1">
        <f t="shared" si="22"/>
        <v>27.212472185328764</v>
      </c>
      <c r="H139" s="4">
        <f t="shared" si="23"/>
        <v>2361.6175543985942</v>
      </c>
    </row>
    <row r="140" spans="1:8" x14ac:dyDescent="0.25">
      <c r="A140">
        <f t="shared" si="24"/>
        <v>133</v>
      </c>
      <c r="B140" s="1">
        <f t="shared" si="25"/>
        <v>216000.33008474117</v>
      </c>
      <c r="C140" s="4">
        <f t="shared" si="19"/>
        <v>2334.4050822132654</v>
      </c>
      <c r="D140" s="1">
        <f t="shared" si="20"/>
        <v>630.00096274716179</v>
      </c>
      <c r="E140" s="4">
        <f t="shared" si="26"/>
        <v>1704.4041194661036</v>
      </c>
      <c r="F140" s="1">
        <f t="shared" si="21"/>
        <v>214295.92596527506</v>
      </c>
      <c r="G140" s="1">
        <f t="shared" si="22"/>
        <v>27.000041260592649</v>
      </c>
      <c r="H140" s="4">
        <f t="shared" si="23"/>
        <v>2361.4051234738581</v>
      </c>
    </row>
    <row r="141" spans="1:8" x14ac:dyDescent="0.25">
      <c r="A141">
        <f t="shared" si="24"/>
        <v>134</v>
      </c>
      <c r="B141" s="1">
        <f t="shared" si="25"/>
        <v>214295.92596527506</v>
      </c>
      <c r="C141" s="4">
        <f t="shared" si="19"/>
        <v>2334.4050822132654</v>
      </c>
      <c r="D141" s="1">
        <f t="shared" si="20"/>
        <v>625.02978406538568</v>
      </c>
      <c r="E141" s="4">
        <f t="shared" si="26"/>
        <v>1709.3752981478797</v>
      </c>
      <c r="F141" s="1">
        <f t="shared" si="21"/>
        <v>212586.55066712719</v>
      </c>
      <c r="G141" s="1">
        <f t="shared" si="22"/>
        <v>26.786990745659384</v>
      </c>
      <c r="H141" s="4">
        <f t="shared" si="23"/>
        <v>2361.1920729589247</v>
      </c>
    </row>
    <row r="142" spans="1:8" x14ac:dyDescent="0.25">
      <c r="A142">
        <f t="shared" si="24"/>
        <v>135</v>
      </c>
      <c r="B142" s="1">
        <f t="shared" si="25"/>
        <v>212586.55066712719</v>
      </c>
      <c r="C142" s="4">
        <f t="shared" si="19"/>
        <v>2334.4050822132654</v>
      </c>
      <c r="D142" s="1">
        <f t="shared" si="20"/>
        <v>620.04410611245441</v>
      </c>
      <c r="E142" s="4">
        <f t="shared" si="26"/>
        <v>1714.3609761008111</v>
      </c>
      <c r="F142" s="1">
        <f t="shared" si="21"/>
        <v>210872.18969102637</v>
      </c>
      <c r="G142" s="1">
        <f t="shared" si="22"/>
        <v>26.5733188333909</v>
      </c>
      <c r="H142" s="4">
        <f t="shared" si="23"/>
        <v>2360.9784010466565</v>
      </c>
    </row>
    <row r="143" spans="1:8" x14ac:dyDescent="0.25">
      <c r="A143">
        <f t="shared" si="24"/>
        <v>136</v>
      </c>
      <c r="B143" s="1">
        <f t="shared" si="25"/>
        <v>210872.18969102637</v>
      </c>
      <c r="C143" s="4">
        <f t="shared" si="19"/>
        <v>2334.4050822132654</v>
      </c>
      <c r="D143" s="1">
        <f t="shared" si="20"/>
        <v>615.04388659882704</v>
      </c>
      <c r="E143" s="4">
        <f t="shared" si="26"/>
        <v>1719.3611956144382</v>
      </c>
      <c r="F143" s="1">
        <f t="shared" si="21"/>
        <v>209152.82849541193</v>
      </c>
      <c r="G143" s="1">
        <f t="shared" si="22"/>
        <v>26.359023711378299</v>
      </c>
      <c r="H143" s="4">
        <f t="shared" si="23"/>
        <v>2360.7641059246434</v>
      </c>
    </row>
    <row r="144" spans="1:8" x14ac:dyDescent="0.25">
      <c r="A144">
        <f t="shared" si="24"/>
        <v>137</v>
      </c>
      <c r="B144" s="1">
        <f t="shared" si="25"/>
        <v>209152.82849541193</v>
      </c>
      <c r="C144" s="4">
        <f t="shared" si="19"/>
        <v>2334.4050822132654</v>
      </c>
      <c r="D144" s="1">
        <f t="shared" si="20"/>
        <v>610.02908311161821</v>
      </c>
      <c r="E144" s="4">
        <f t="shared" si="26"/>
        <v>1724.3759991016473</v>
      </c>
      <c r="F144" s="1">
        <f t="shared" si="21"/>
        <v>207428.45249631029</v>
      </c>
      <c r="G144" s="1">
        <f t="shared" si="22"/>
        <v>26.144103561926489</v>
      </c>
      <c r="H144" s="4">
        <f t="shared" si="23"/>
        <v>2360.5491857751917</v>
      </c>
    </row>
    <row r="145" spans="1:8" x14ac:dyDescent="0.25">
      <c r="A145">
        <f t="shared" si="24"/>
        <v>138</v>
      </c>
      <c r="B145" s="1">
        <f t="shared" si="25"/>
        <v>207428.45249631029</v>
      </c>
      <c r="C145" s="4">
        <f t="shared" si="19"/>
        <v>2334.4050822132654</v>
      </c>
      <c r="D145" s="1">
        <f t="shared" si="20"/>
        <v>604.99965311423841</v>
      </c>
      <c r="E145" s="4">
        <f t="shared" si="26"/>
        <v>1729.4054290990271</v>
      </c>
      <c r="F145" s="1">
        <f t="shared" si="21"/>
        <v>205699.04706721127</v>
      </c>
      <c r="G145" s="1">
        <f t="shared" si="22"/>
        <v>25.928556562038789</v>
      </c>
      <c r="H145" s="4">
        <f t="shared" si="23"/>
        <v>2360.3336387753043</v>
      </c>
    </row>
    <row r="146" spans="1:8" x14ac:dyDescent="0.25">
      <c r="A146">
        <f t="shared" si="24"/>
        <v>139</v>
      </c>
      <c r="B146" s="1">
        <f t="shared" si="25"/>
        <v>205699.04706721127</v>
      </c>
      <c r="C146" s="4">
        <f t="shared" si="19"/>
        <v>2334.4050822132654</v>
      </c>
      <c r="D146" s="1">
        <f t="shared" si="20"/>
        <v>599.95555394603286</v>
      </c>
      <c r="E146" s="4">
        <f t="shared" si="26"/>
        <v>1734.4495282672324</v>
      </c>
      <c r="F146" s="1">
        <f t="shared" si="21"/>
        <v>203964.59753894404</v>
      </c>
      <c r="G146" s="1">
        <f t="shared" si="22"/>
        <v>25.712380883401408</v>
      </c>
      <c r="H146" s="4">
        <f t="shared" si="23"/>
        <v>2360.1174630966666</v>
      </c>
    </row>
    <row r="147" spans="1:8" x14ac:dyDescent="0.25">
      <c r="A147">
        <f t="shared" si="24"/>
        <v>140</v>
      </c>
      <c r="B147" s="1">
        <f t="shared" si="25"/>
        <v>203964.59753894404</v>
      </c>
      <c r="C147" s="4">
        <f t="shared" si="19"/>
        <v>2334.4050822132654</v>
      </c>
      <c r="D147" s="1">
        <f t="shared" si="20"/>
        <v>594.89674282192016</v>
      </c>
      <c r="E147" s="4">
        <f t="shared" si="26"/>
        <v>1739.5083393913451</v>
      </c>
      <c r="F147" s="1">
        <f t="shared" si="21"/>
        <v>202225.08919955269</v>
      </c>
      <c r="G147" s="1">
        <f t="shared" si="22"/>
        <v>25.495574692368006</v>
      </c>
      <c r="H147" s="4">
        <f t="shared" si="23"/>
        <v>2359.9006569056332</v>
      </c>
    </row>
    <row r="148" spans="1:8" x14ac:dyDescent="0.25">
      <c r="A148">
        <f t="shared" si="24"/>
        <v>141</v>
      </c>
      <c r="B148" s="1">
        <f t="shared" si="25"/>
        <v>202225.08919955269</v>
      </c>
      <c r="C148" s="4">
        <f t="shared" si="19"/>
        <v>2334.4050822132654</v>
      </c>
      <c r="D148" s="1">
        <f t="shared" si="20"/>
        <v>589.82317683202871</v>
      </c>
      <c r="E148" s="4">
        <f t="shared" si="26"/>
        <v>1744.5819053812365</v>
      </c>
      <c r="F148" s="1">
        <f t="shared" si="21"/>
        <v>200480.50729417146</v>
      </c>
      <c r="G148" s="1">
        <f t="shared" si="22"/>
        <v>25.278136149944089</v>
      </c>
      <c r="H148" s="4">
        <f t="shared" si="23"/>
        <v>2359.6832183632096</v>
      </c>
    </row>
    <row r="149" spans="1:8" x14ac:dyDescent="0.25">
      <c r="A149">
        <f t="shared" si="24"/>
        <v>142</v>
      </c>
      <c r="B149" s="1">
        <f t="shared" si="25"/>
        <v>200480.50729417146</v>
      </c>
      <c r="C149" s="4">
        <f t="shared" si="19"/>
        <v>2334.4050822132654</v>
      </c>
      <c r="D149" s="1">
        <f t="shared" si="20"/>
        <v>584.73481294133342</v>
      </c>
      <c r="E149" s="4">
        <f t="shared" si="26"/>
        <v>1749.6702692719318</v>
      </c>
      <c r="F149" s="1">
        <f t="shared" si="21"/>
        <v>198730.83702489952</v>
      </c>
      <c r="G149" s="1">
        <f t="shared" si="22"/>
        <v>25.060063411771434</v>
      </c>
      <c r="H149" s="4">
        <f t="shared" si="23"/>
        <v>2359.4651456250367</v>
      </c>
    </row>
    <row r="150" spans="1:8" x14ac:dyDescent="0.25">
      <c r="A150">
        <f t="shared" si="24"/>
        <v>143</v>
      </c>
      <c r="B150" s="1">
        <f t="shared" si="25"/>
        <v>198730.83702489952</v>
      </c>
      <c r="C150" s="4">
        <f t="shared" si="19"/>
        <v>2334.4050822132654</v>
      </c>
      <c r="D150" s="1">
        <f t="shared" si="20"/>
        <v>579.63160798929027</v>
      </c>
      <c r="E150" s="4">
        <f t="shared" si="26"/>
        <v>1754.773474223975</v>
      </c>
      <c r="F150" s="1">
        <f t="shared" si="21"/>
        <v>196976.06355067555</v>
      </c>
      <c r="G150" s="1">
        <f t="shared" si="22"/>
        <v>24.841354628112441</v>
      </c>
      <c r="H150" s="4">
        <f t="shared" si="23"/>
        <v>2359.246436841378</v>
      </c>
    </row>
    <row r="151" spans="1:8" x14ac:dyDescent="0.25">
      <c r="A151">
        <f t="shared" si="24"/>
        <v>144</v>
      </c>
      <c r="B151" s="1">
        <f t="shared" si="25"/>
        <v>196976.06355067555</v>
      </c>
      <c r="C151" s="4">
        <f t="shared" si="19"/>
        <v>2334.4050822132654</v>
      </c>
      <c r="D151" s="1">
        <f t="shared" si="20"/>
        <v>574.5135186894704</v>
      </c>
      <c r="E151" s="4">
        <f t="shared" si="26"/>
        <v>1759.891563523795</v>
      </c>
      <c r="F151" s="1">
        <f t="shared" si="21"/>
        <v>195216.17198715176</v>
      </c>
      <c r="G151" s="1">
        <f t="shared" si="22"/>
        <v>24.622007943834443</v>
      </c>
      <c r="H151" s="4">
        <f t="shared" si="23"/>
        <v>2359.0270901570998</v>
      </c>
    </row>
    <row r="152" spans="1:8" x14ac:dyDescent="0.25">
      <c r="A152">
        <f t="shared" si="24"/>
        <v>145</v>
      </c>
      <c r="B152" s="1">
        <f t="shared" si="25"/>
        <v>195216.17198715176</v>
      </c>
      <c r="C152" s="4">
        <f t="shared" si="19"/>
        <v>2334.4050822132654</v>
      </c>
      <c r="D152" s="1">
        <f t="shared" si="20"/>
        <v>569.38050162919274</v>
      </c>
      <c r="E152" s="4">
        <f t="shared" si="26"/>
        <v>1765.0245805840727</v>
      </c>
      <c r="F152" s="1">
        <f t="shared" si="21"/>
        <v>193451.14740656767</v>
      </c>
      <c r="G152" s="1">
        <f t="shared" si="22"/>
        <v>24.402021498393967</v>
      </c>
      <c r="H152" s="4">
        <f t="shared" si="23"/>
        <v>2358.8071037116592</v>
      </c>
    </row>
    <row r="153" spans="1:8" x14ac:dyDescent="0.25">
      <c r="A153">
        <f t="shared" si="24"/>
        <v>146</v>
      </c>
      <c r="B153" s="1">
        <f t="shared" si="25"/>
        <v>193451.14740656767</v>
      </c>
      <c r="C153" s="4">
        <f t="shared" si="19"/>
        <v>2334.4050822132654</v>
      </c>
      <c r="D153" s="1">
        <f t="shared" si="20"/>
        <v>564.23251326915579</v>
      </c>
      <c r="E153" s="4">
        <f t="shared" si="26"/>
        <v>1770.1725689441096</v>
      </c>
      <c r="F153" s="1">
        <f t="shared" si="21"/>
        <v>191680.97483762357</v>
      </c>
      <c r="G153" s="1">
        <f t="shared" si="22"/>
        <v>24.181393425820961</v>
      </c>
      <c r="H153" s="4">
        <f t="shared" si="23"/>
        <v>2358.5864756390865</v>
      </c>
    </row>
    <row r="154" spans="1:8" x14ac:dyDescent="0.25">
      <c r="A154">
        <f t="shared" si="24"/>
        <v>147</v>
      </c>
      <c r="B154" s="1">
        <f t="shared" si="25"/>
        <v>191680.97483762357</v>
      </c>
      <c r="C154" s="4">
        <f t="shared" si="19"/>
        <v>2334.4050822132654</v>
      </c>
      <c r="D154" s="1">
        <f t="shared" si="20"/>
        <v>559.06950994306874</v>
      </c>
      <c r="E154" s="4">
        <f t="shared" si="26"/>
        <v>1775.3355722701967</v>
      </c>
      <c r="F154" s="1">
        <f t="shared" si="21"/>
        <v>189905.63926535335</v>
      </c>
      <c r="G154" s="1">
        <f t="shared" si="22"/>
        <v>23.960121854702948</v>
      </c>
      <c r="H154" s="4">
        <f t="shared" si="23"/>
        <v>2358.3652040679681</v>
      </c>
    </row>
    <row r="155" spans="1:8" x14ac:dyDescent="0.25">
      <c r="A155">
        <f t="shared" si="24"/>
        <v>148</v>
      </c>
      <c r="B155" s="1">
        <f t="shared" si="25"/>
        <v>189905.63926535335</v>
      </c>
      <c r="C155" s="4">
        <f t="shared" si="19"/>
        <v>2334.4050822132654</v>
      </c>
      <c r="D155" s="1">
        <f t="shared" si="20"/>
        <v>553.8914478572807</v>
      </c>
      <c r="E155" s="4">
        <f t="shared" si="26"/>
        <v>1780.5136343559848</v>
      </c>
      <c r="F155" s="1">
        <f t="shared" si="21"/>
        <v>188125.12563099738</v>
      </c>
      <c r="G155" s="1">
        <f t="shared" si="22"/>
        <v>23.73820490816917</v>
      </c>
      <c r="H155" s="4">
        <f t="shared" si="23"/>
        <v>2358.1432871214347</v>
      </c>
    </row>
    <row r="156" spans="1:8" x14ac:dyDescent="0.25">
      <c r="A156">
        <f t="shared" si="24"/>
        <v>149</v>
      </c>
      <c r="B156" s="1">
        <f t="shared" si="25"/>
        <v>188125.12563099738</v>
      </c>
      <c r="C156" s="4">
        <f t="shared" si="19"/>
        <v>2334.4050822132654</v>
      </c>
      <c r="D156" s="1">
        <f t="shared" si="20"/>
        <v>548.69828309040906</v>
      </c>
      <c r="E156" s="4">
        <f t="shared" si="26"/>
        <v>1785.7067991228564</v>
      </c>
      <c r="F156" s="1">
        <f t="shared" si="21"/>
        <v>186339.41883187453</v>
      </c>
      <c r="G156" s="1">
        <f t="shared" si="22"/>
        <v>23.51564070387467</v>
      </c>
      <c r="H156" s="4">
        <f t="shared" si="23"/>
        <v>2357.9207229171402</v>
      </c>
    </row>
    <row r="157" spans="1:8" x14ac:dyDescent="0.25">
      <c r="A157">
        <f>A156+1</f>
        <v>150</v>
      </c>
      <c r="B157" s="1">
        <f t="shared" si="25"/>
        <v>186339.41883187453</v>
      </c>
      <c r="C157" s="4">
        <f t="shared" si="19"/>
        <v>2334.4050822132654</v>
      </c>
      <c r="D157" s="1">
        <f t="shared" si="20"/>
        <v>543.48997159296744</v>
      </c>
      <c r="E157" s="4">
        <f t="shared" si="26"/>
        <v>1790.915110620298</v>
      </c>
      <c r="F157" s="1">
        <f t="shared" si="21"/>
        <v>184548.50372125424</v>
      </c>
      <c r="G157" s="1">
        <f t="shared" si="22"/>
        <v>23.292427353984319</v>
      </c>
      <c r="H157" s="4">
        <f t="shared" si="23"/>
        <v>2357.6975095672497</v>
      </c>
    </row>
    <row r="158" spans="1:8" x14ac:dyDescent="0.25">
      <c r="A158">
        <f t="shared" ref="A158:A177" si="27">A157+1</f>
        <v>151</v>
      </c>
      <c r="B158" s="1">
        <f t="shared" si="25"/>
        <v>184548.50372125424</v>
      </c>
      <c r="C158" s="4">
        <f t="shared" si="19"/>
        <v>2334.4050822132654</v>
      </c>
      <c r="D158" s="1">
        <f t="shared" si="20"/>
        <v>538.26646918699157</v>
      </c>
      <c r="E158" s="4">
        <f t="shared" si="26"/>
        <v>1796.1386130262738</v>
      </c>
      <c r="F158" s="1">
        <f t="shared" si="21"/>
        <v>182752.36510822797</v>
      </c>
      <c r="G158" s="1">
        <f t="shared" si="22"/>
        <v>23.068562965156783</v>
      </c>
      <c r="H158" s="4">
        <f t="shared" si="23"/>
        <v>2357.473645178422</v>
      </c>
    </row>
    <row r="159" spans="1:8" x14ac:dyDescent="0.25">
      <c r="A159">
        <f t="shared" si="27"/>
        <v>152</v>
      </c>
      <c r="B159" s="1">
        <f t="shared" si="25"/>
        <v>182752.36510822797</v>
      </c>
      <c r="C159" s="4">
        <f t="shared" si="19"/>
        <v>2334.4050822132654</v>
      </c>
      <c r="D159" s="1">
        <f t="shared" si="20"/>
        <v>533.02773156566502</v>
      </c>
      <c r="E159" s="4">
        <f t="shared" si="26"/>
        <v>1801.3773506476005</v>
      </c>
      <c r="F159" s="1">
        <f t="shared" si="21"/>
        <v>180950.98775758035</v>
      </c>
      <c r="G159" s="1">
        <f t="shared" si="22"/>
        <v>22.844045638528499</v>
      </c>
      <c r="H159" s="4">
        <f t="shared" si="23"/>
        <v>2357.2491278517937</v>
      </c>
    </row>
    <row r="160" spans="1:8" x14ac:dyDescent="0.25">
      <c r="A160">
        <f t="shared" si="27"/>
        <v>153</v>
      </c>
      <c r="B160" s="1">
        <f t="shared" si="25"/>
        <v>180950.98775758035</v>
      </c>
      <c r="C160" s="4">
        <f t="shared" si="19"/>
        <v>2334.4050822132654</v>
      </c>
      <c r="D160" s="1">
        <f t="shared" si="20"/>
        <v>527.77371429294283</v>
      </c>
      <c r="E160" s="4">
        <f t="shared" si="26"/>
        <v>1806.6313679203226</v>
      </c>
      <c r="F160" s="1">
        <f t="shared" si="21"/>
        <v>179144.35638966004</v>
      </c>
      <c r="G160" s="1">
        <f t="shared" si="22"/>
        <v>22.618873469697544</v>
      </c>
      <c r="H160" s="4">
        <f t="shared" si="23"/>
        <v>2357.0239556829629</v>
      </c>
    </row>
    <row r="161" spans="1:8" x14ac:dyDescent="0.25">
      <c r="A161">
        <f t="shared" si="27"/>
        <v>154</v>
      </c>
      <c r="B161" s="1">
        <f t="shared" si="25"/>
        <v>179144.35638966004</v>
      </c>
      <c r="C161" s="4">
        <f t="shared" si="19"/>
        <v>2334.4050822132654</v>
      </c>
      <c r="D161" s="1">
        <f t="shared" si="20"/>
        <v>522.50437280317522</v>
      </c>
      <c r="E161" s="4">
        <f t="shared" si="26"/>
        <v>1811.9007094100903</v>
      </c>
      <c r="F161" s="1">
        <f t="shared" si="21"/>
        <v>177332.45568024996</v>
      </c>
      <c r="G161" s="1">
        <f t="shared" si="22"/>
        <v>22.393044548707508</v>
      </c>
      <c r="H161" s="4">
        <f t="shared" si="23"/>
        <v>2356.798126761973</v>
      </c>
    </row>
    <row r="162" spans="1:8" x14ac:dyDescent="0.25">
      <c r="A162">
        <f t="shared" si="27"/>
        <v>155</v>
      </c>
      <c r="B162" s="1">
        <f t="shared" si="25"/>
        <v>177332.45568024996</v>
      </c>
      <c r="C162" s="4">
        <f t="shared" si="19"/>
        <v>2334.4050822132654</v>
      </c>
      <c r="D162" s="1">
        <f t="shared" si="20"/>
        <v>517.21966240072913</v>
      </c>
      <c r="E162" s="4">
        <f t="shared" si="26"/>
        <v>1817.1854198125361</v>
      </c>
      <c r="F162" s="1">
        <f t="shared" si="21"/>
        <v>175515.27026043742</v>
      </c>
      <c r="G162" s="1">
        <f t="shared" si="22"/>
        <v>22.166556960031244</v>
      </c>
      <c r="H162" s="4">
        <f t="shared" si="23"/>
        <v>2356.5716391732967</v>
      </c>
    </row>
    <row r="163" spans="1:8" x14ac:dyDescent="0.25">
      <c r="A163">
        <f t="shared" si="27"/>
        <v>156</v>
      </c>
      <c r="B163" s="1">
        <f t="shared" si="25"/>
        <v>175515.27026043742</v>
      </c>
      <c r="C163" s="4">
        <f t="shared" si="19"/>
        <v>2334.4050822132654</v>
      </c>
      <c r="D163" s="1">
        <f t="shared" si="20"/>
        <v>511.91953825960923</v>
      </c>
      <c r="E163" s="4">
        <f t="shared" si="26"/>
        <v>1822.4855439536561</v>
      </c>
      <c r="F163" s="1">
        <f t="shared" si="21"/>
        <v>173692.78471648376</v>
      </c>
      <c r="G163" s="1">
        <f t="shared" si="22"/>
        <v>21.939408782554679</v>
      </c>
      <c r="H163" s="4">
        <f t="shared" si="23"/>
        <v>2356.3444909958203</v>
      </c>
    </row>
    <row r="164" spans="1:8" x14ac:dyDescent="0.25">
      <c r="A164">
        <f t="shared" si="27"/>
        <v>157</v>
      </c>
      <c r="B164" s="1">
        <f t="shared" si="25"/>
        <v>173692.78471648376</v>
      </c>
      <c r="C164" s="4">
        <f t="shared" si="19"/>
        <v>2334.4050822132654</v>
      </c>
      <c r="D164" s="1">
        <f t="shared" si="20"/>
        <v>506.60395542307765</v>
      </c>
      <c r="E164" s="4">
        <f t="shared" si="26"/>
        <v>1827.8011267901877</v>
      </c>
      <c r="F164" s="1">
        <f t="shared" si="21"/>
        <v>171864.98358969358</v>
      </c>
      <c r="G164" s="1">
        <f t="shared" si="22"/>
        <v>21.711598089560471</v>
      </c>
      <c r="H164" s="4">
        <f t="shared" si="23"/>
        <v>2356.1166803028259</v>
      </c>
    </row>
    <row r="165" spans="1:8" x14ac:dyDescent="0.25">
      <c r="A165">
        <f t="shared" si="27"/>
        <v>158</v>
      </c>
      <c r="B165" s="1">
        <f t="shared" si="25"/>
        <v>171864.98358969358</v>
      </c>
      <c r="C165" s="4">
        <f t="shared" si="19"/>
        <v>2334.4050822132654</v>
      </c>
      <c r="D165" s="1">
        <f t="shared" si="20"/>
        <v>501.27286880327301</v>
      </c>
      <c r="E165" s="4">
        <f t="shared" si="26"/>
        <v>1833.1322134099923</v>
      </c>
      <c r="F165" s="1">
        <f t="shared" si="21"/>
        <v>170031.85137628359</v>
      </c>
      <c r="G165" s="1">
        <f t="shared" si="22"/>
        <v>21.483122948711699</v>
      </c>
      <c r="H165" s="4">
        <f t="shared" si="23"/>
        <v>2355.8882051619771</v>
      </c>
    </row>
    <row r="166" spans="1:8" x14ac:dyDescent="0.25">
      <c r="A166">
        <f t="shared" si="27"/>
        <v>159</v>
      </c>
      <c r="B166" s="1">
        <f t="shared" si="25"/>
        <v>170031.85137628359</v>
      </c>
      <c r="C166" s="4">
        <f t="shared" si="19"/>
        <v>2334.4050822132654</v>
      </c>
      <c r="D166" s="1">
        <f t="shared" si="20"/>
        <v>495.92623318082718</v>
      </c>
      <c r="E166" s="4">
        <f t="shared" si="26"/>
        <v>1838.4788490324381</v>
      </c>
      <c r="F166" s="1">
        <f t="shared" si="21"/>
        <v>168193.37252725117</v>
      </c>
      <c r="G166" s="1">
        <f t="shared" si="22"/>
        <v>21.253981422035448</v>
      </c>
      <c r="H166" s="4">
        <f t="shared" si="23"/>
        <v>2355.6590636353008</v>
      </c>
    </row>
    <row r="167" spans="1:8" x14ac:dyDescent="0.25">
      <c r="A167">
        <f t="shared" si="27"/>
        <v>160</v>
      </c>
      <c r="B167" s="1">
        <f t="shared" si="25"/>
        <v>168193.37252725117</v>
      </c>
      <c r="C167" s="4">
        <f t="shared" si="19"/>
        <v>2334.4050822132654</v>
      </c>
      <c r="D167" s="1">
        <f t="shared" si="20"/>
        <v>490.56400320448262</v>
      </c>
      <c r="E167" s="4">
        <f t="shared" si="26"/>
        <v>1843.8410790087828</v>
      </c>
      <c r="F167" s="1">
        <f t="shared" si="21"/>
        <v>166349.53144824237</v>
      </c>
      <c r="G167" s="1">
        <f t="shared" si="22"/>
        <v>21.024171565906396</v>
      </c>
      <c r="H167" s="4">
        <f t="shared" si="23"/>
        <v>2355.4292537791716</v>
      </c>
    </row>
    <row r="168" spans="1:8" x14ac:dyDescent="0.25">
      <c r="A168">
        <f t="shared" si="27"/>
        <v>161</v>
      </c>
      <c r="B168" s="1">
        <f t="shared" si="25"/>
        <v>166349.53144824237</v>
      </c>
      <c r="C168" s="4">
        <f t="shared" si="19"/>
        <v>2334.4050822132654</v>
      </c>
      <c r="D168" s="1">
        <f t="shared" si="20"/>
        <v>485.18613339070697</v>
      </c>
      <c r="E168" s="4">
        <f t="shared" si="26"/>
        <v>1849.2189488225583</v>
      </c>
      <c r="F168" s="1">
        <f t="shared" si="21"/>
        <v>164500.31249941982</v>
      </c>
      <c r="G168" s="1">
        <f t="shared" si="22"/>
        <v>20.793691431030297</v>
      </c>
      <c r="H168" s="4">
        <f t="shared" si="23"/>
        <v>2355.1987736442957</v>
      </c>
    </row>
    <row r="169" spans="1:8" x14ac:dyDescent="0.25">
      <c r="A169">
        <f t="shared" si="27"/>
        <v>162</v>
      </c>
      <c r="B169" s="1">
        <f t="shared" si="25"/>
        <v>164500.31249941982</v>
      </c>
      <c r="C169" s="4">
        <f t="shared" si="19"/>
        <v>2334.4050822132654</v>
      </c>
      <c r="D169" s="1">
        <f t="shared" si="20"/>
        <v>479.79257812330781</v>
      </c>
      <c r="E169" s="4">
        <f t="shared" si="26"/>
        <v>1854.6125040899576</v>
      </c>
      <c r="F169" s="1">
        <f t="shared" si="21"/>
        <v>162645.69999532987</v>
      </c>
      <c r="G169" s="1">
        <f t="shared" si="22"/>
        <v>20.562539062427479</v>
      </c>
      <c r="H169" s="4">
        <f t="shared" si="23"/>
        <v>2354.9676212756926</v>
      </c>
    </row>
    <row r="170" spans="1:8" x14ac:dyDescent="0.25">
      <c r="A170">
        <f t="shared" si="27"/>
        <v>163</v>
      </c>
      <c r="B170" s="1">
        <f t="shared" si="25"/>
        <v>162645.69999532987</v>
      </c>
      <c r="C170" s="4">
        <f t="shared" si="19"/>
        <v>2334.4050822132654</v>
      </c>
      <c r="D170" s="1">
        <f t="shared" si="20"/>
        <v>474.38329165304549</v>
      </c>
      <c r="E170" s="4">
        <f t="shared" si="26"/>
        <v>1860.0217905602199</v>
      </c>
      <c r="F170" s="1">
        <f t="shared" si="21"/>
        <v>160785.67820476965</v>
      </c>
      <c r="G170" s="1">
        <f t="shared" si="22"/>
        <v>20.330712499416233</v>
      </c>
      <c r="H170" s="4">
        <f t="shared" si="23"/>
        <v>2354.7357947126816</v>
      </c>
    </row>
    <row r="171" spans="1:8" x14ac:dyDescent="0.25">
      <c r="A171">
        <f t="shared" si="27"/>
        <v>164</v>
      </c>
      <c r="B171" s="1">
        <f t="shared" si="25"/>
        <v>160785.67820476965</v>
      </c>
      <c r="C171" s="4">
        <f t="shared" si="19"/>
        <v>2334.4050822132654</v>
      </c>
      <c r="D171" s="1">
        <f t="shared" si="20"/>
        <v>468.9582280972449</v>
      </c>
      <c r="E171" s="4">
        <f t="shared" si="26"/>
        <v>1865.4468541160204</v>
      </c>
      <c r="F171" s="1">
        <f t="shared" si="21"/>
        <v>158920.23135065363</v>
      </c>
      <c r="G171" s="1">
        <f t="shared" si="22"/>
        <v>20.098209775596207</v>
      </c>
      <c r="H171" s="4">
        <f t="shared" si="23"/>
        <v>2354.5032919888617</v>
      </c>
    </row>
    <row r="172" spans="1:8" x14ac:dyDescent="0.25">
      <c r="A172">
        <f t="shared" si="27"/>
        <v>165</v>
      </c>
      <c r="B172" s="1">
        <f t="shared" si="25"/>
        <v>158920.23135065363</v>
      </c>
      <c r="C172" s="4">
        <f t="shared" si="19"/>
        <v>2334.4050822132654</v>
      </c>
      <c r="D172" s="1">
        <f t="shared" si="20"/>
        <v>463.51734143940644</v>
      </c>
      <c r="E172" s="4">
        <f t="shared" si="26"/>
        <v>1870.8877407738589</v>
      </c>
      <c r="F172" s="1">
        <f t="shared" si="21"/>
        <v>157049.34360987978</v>
      </c>
      <c r="G172" s="1">
        <f t="shared" si="22"/>
        <v>19.865028918831705</v>
      </c>
      <c r="H172" s="4">
        <f t="shared" si="23"/>
        <v>2354.2701111320971</v>
      </c>
    </row>
    <row r="173" spans="1:8" x14ac:dyDescent="0.25">
      <c r="A173">
        <f t="shared" si="27"/>
        <v>166</v>
      </c>
      <c r="B173" s="1">
        <f t="shared" si="25"/>
        <v>157049.34360987978</v>
      </c>
      <c r="C173" s="4">
        <f t="shared" si="19"/>
        <v>2334.4050822132654</v>
      </c>
      <c r="D173" s="1">
        <f t="shared" si="20"/>
        <v>458.06058552881609</v>
      </c>
      <c r="E173" s="4">
        <f t="shared" si="26"/>
        <v>1876.3444966844493</v>
      </c>
      <c r="F173" s="1">
        <f t="shared" si="21"/>
        <v>155172.99911319534</v>
      </c>
      <c r="G173" s="1">
        <f t="shared" si="22"/>
        <v>19.631167951234975</v>
      </c>
      <c r="H173" s="4">
        <f t="shared" si="23"/>
        <v>2354.0362501645004</v>
      </c>
    </row>
    <row r="174" spans="1:8" x14ac:dyDescent="0.25">
      <c r="A174">
        <f t="shared" si="27"/>
        <v>167</v>
      </c>
      <c r="B174" s="1">
        <f t="shared" si="25"/>
        <v>155172.99911319534</v>
      </c>
      <c r="C174" s="4">
        <f t="shared" si="19"/>
        <v>2334.4050822132654</v>
      </c>
      <c r="D174" s="1">
        <f t="shared" si="20"/>
        <v>452.5879140801531</v>
      </c>
      <c r="E174" s="4">
        <f t="shared" si="26"/>
        <v>1881.8171681331123</v>
      </c>
      <c r="F174" s="1">
        <f t="shared" si="21"/>
        <v>153291.18194506224</v>
      </c>
      <c r="G174" s="1">
        <f t="shared" si="22"/>
        <v>19.396624889149418</v>
      </c>
      <c r="H174" s="4">
        <f t="shared" si="23"/>
        <v>2353.8017071024146</v>
      </c>
    </row>
    <row r="175" spans="1:8" x14ac:dyDescent="0.25">
      <c r="A175">
        <f t="shared" si="27"/>
        <v>168</v>
      </c>
      <c r="B175" s="1">
        <f t="shared" si="25"/>
        <v>153291.18194506224</v>
      </c>
      <c r="C175" s="4">
        <f t="shared" si="19"/>
        <v>2334.4050822132654</v>
      </c>
      <c r="D175" s="1">
        <f t="shared" si="20"/>
        <v>447.09928067309824</v>
      </c>
      <c r="E175" s="4">
        <f t="shared" si="26"/>
        <v>1887.3058015401671</v>
      </c>
      <c r="F175" s="1">
        <f t="shared" si="21"/>
        <v>151403.87614352207</v>
      </c>
      <c r="G175" s="1">
        <f t="shared" si="22"/>
        <v>19.161397743132781</v>
      </c>
      <c r="H175" s="4">
        <f t="shared" si="23"/>
        <v>2353.5664799563983</v>
      </c>
    </row>
    <row r="176" spans="1:8" x14ac:dyDescent="0.25">
      <c r="A176">
        <f t="shared" si="27"/>
        <v>169</v>
      </c>
      <c r="B176" s="1">
        <f t="shared" si="25"/>
        <v>151403.87614352207</v>
      </c>
      <c r="C176" s="4">
        <f t="shared" si="19"/>
        <v>2334.4050822132654</v>
      </c>
      <c r="D176" s="1">
        <f t="shared" si="20"/>
        <v>441.59463875193939</v>
      </c>
      <c r="E176" s="4">
        <f t="shared" si="26"/>
        <v>1892.810443461326</v>
      </c>
      <c r="F176" s="1">
        <f t="shared" si="21"/>
        <v>149511.06570006075</v>
      </c>
      <c r="G176" s="1">
        <f t="shared" si="22"/>
        <v>18.925484517940259</v>
      </c>
      <c r="H176" s="4">
        <f t="shared" si="23"/>
        <v>2353.3305667312056</v>
      </c>
    </row>
    <row r="177" spans="1:8" x14ac:dyDescent="0.25">
      <c r="A177">
        <f t="shared" si="27"/>
        <v>170</v>
      </c>
      <c r="B177" s="1">
        <f t="shared" si="25"/>
        <v>149511.06570006075</v>
      </c>
      <c r="C177" s="4">
        <f t="shared" si="19"/>
        <v>2334.4050822132654</v>
      </c>
      <c r="D177" s="1">
        <f t="shared" si="20"/>
        <v>436.07394162517721</v>
      </c>
      <c r="E177" s="4">
        <f t="shared" si="26"/>
        <v>1898.3311405880881</v>
      </c>
      <c r="F177" s="1">
        <f t="shared" si="21"/>
        <v>147612.73455947265</v>
      </c>
      <c r="G177" s="1">
        <f t="shared" si="22"/>
        <v>18.688883212507594</v>
      </c>
      <c r="H177" s="4">
        <f t="shared" si="23"/>
        <v>2353.0939654257731</v>
      </c>
    </row>
    <row r="178" spans="1:8" x14ac:dyDescent="0.25">
      <c r="A178">
        <f>A177+1</f>
        <v>171</v>
      </c>
      <c r="B178" s="1">
        <f t="shared" si="25"/>
        <v>147612.73455947265</v>
      </c>
      <c r="C178" s="4">
        <f t="shared" si="19"/>
        <v>2334.4050822132654</v>
      </c>
      <c r="D178" s="1">
        <f t="shared" si="20"/>
        <v>430.53714246512862</v>
      </c>
      <c r="E178" s="4">
        <f t="shared" si="26"/>
        <v>1903.8679397481367</v>
      </c>
      <c r="F178" s="1">
        <f t="shared" si="21"/>
        <v>145708.86661972452</v>
      </c>
      <c r="G178" s="1">
        <f t="shared" si="22"/>
        <v>18.451591819934084</v>
      </c>
      <c r="H178" s="4">
        <f t="shared" si="23"/>
        <v>2352.8566740331994</v>
      </c>
    </row>
    <row r="179" spans="1:8" x14ac:dyDescent="0.25">
      <c r="A179">
        <f t="shared" ref="A179:A207" si="28">A178+1</f>
        <v>172</v>
      </c>
      <c r="B179" s="1">
        <f t="shared" si="25"/>
        <v>145708.86661972452</v>
      </c>
      <c r="C179" s="4">
        <f t="shared" si="19"/>
        <v>2334.4050822132654</v>
      </c>
      <c r="D179" s="1">
        <f t="shared" si="20"/>
        <v>424.98419430752989</v>
      </c>
      <c r="E179" s="4">
        <f t="shared" si="26"/>
        <v>1909.4208879057355</v>
      </c>
      <c r="F179" s="1">
        <f t="shared" si="21"/>
        <v>143799.44573181879</v>
      </c>
      <c r="G179" s="1">
        <f t="shared" si="22"/>
        <v>18.213608327465565</v>
      </c>
      <c r="H179" s="4">
        <f t="shared" si="23"/>
        <v>2352.6186905407308</v>
      </c>
    </row>
    <row r="180" spans="1:8" x14ac:dyDescent="0.25">
      <c r="A180">
        <f t="shared" si="28"/>
        <v>173</v>
      </c>
      <c r="B180" s="1">
        <f t="shared" si="25"/>
        <v>143799.44573181879</v>
      </c>
      <c r="C180" s="4">
        <f t="shared" si="19"/>
        <v>2334.4050822132654</v>
      </c>
      <c r="D180" s="1">
        <f t="shared" si="20"/>
        <v>419.41505005113817</v>
      </c>
      <c r="E180" s="4">
        <f t="shared" si="26"/>
        <v>1914.9900321621271</v>
      </c>
      <c r="F180" s="1">
        <f t="shared" si="21"/>
        <v>141884.45569965665</v>
      </c>
      <c r="G180" s="1">
        <f t="shared" si="22"/>
        <v>17.974930716477349</v>
      </c>
      <c r="H180" s="4">
        <f t="shared" si="23"/>
        <v>2352.3800129297429</v>
      </c>
    </row>
    <row r="181" spans="1:8" x14ac:dyDescent="0.25">
      <c r="A181">
        <f t="shared" si="28"/>
        <v>174</v>
      </c>
      <c r="B181" s="1">
        <f t="shared" si="25"/>
        <v>141884.45569965665</v>
      </c>
      <c r="C181" s="4">
        <f t="shared" si="19"/>
        <v>2334.4050822132654</v>
      </c>
      <c r="D181" s="1">
        <f t="shared" si="20"/>
        <v>413.82966245733195</v>
      </c>
      <c r="E181" s="4">
        <f t="shared" si="26"/>
        <v>1920.5754197559334</v>
      </c>
      <c r="F181" s="1">
        <f t="shared" si="21"/>
        <v>139963.88027990071</v>
      </c>
      <c r="G181" s="1">
        <f t="shared" si="22"/>
        <v>17.735556962457082</v>
      </c>
      <c r="H181" s="4">
        <f t="shared" si="23"/>
        <v>2352.1406391757223</v>
      </c>
    </row>
    <row r="182" spans="1:8" x14ac:dyDescent="0.25">
      <c r="A182">
        <f t="shared" si="28"/>
        <v>175</v>
      </c>
      <c r="B182" s="1">
        <f t="shared" si="25"/>
        <v>139963.88027990071</v>
      </c>
      <c r="C182" s="4">
        <f t="shared" si="19"/>
        <v>2334.4050822132654</v>
      </c>
      <c r="D182" s="1">
        <f t="shared" si="20"/>
        <v>408.22798414971044</v>
      </c>
      <c r="E182" s="4">
        <f t="shared" si="26"/>
        <v>1926.1770980635549</v>
      </c>
      <c r="F182" s="1">
        <f t="shared" si="21"/>
        <v>138037.70318183716</v>
      </c>
      <c r="G182" s="1">
        <f t="shared" si="22"/>
        <v>17.495485034987588</v>
      </c>
      <c r="H182" s="4">
        <f t="shared" si="23"/>
        <v>2351.9005672482531</v>
      </c>
    </row>
    <row r="183" spans="1:8" x14ac:dyDescent="0.25">
      <c r="A183">
        <f t="shared" si="28"/>
        <v>176</v>
      </c>
      <c r="B183" s="1">
        <f t="shared" si="25"/>
        <v>138037.70318183716</v>
      </c>
      <c r="C183" s="4">
        <f t="shared" si="19"/>
        <v>2334.4050822132654</v>
      </c>
      <c r="D183" s="1">
        <f t="shared" si="20"/>
        <v>402.60996761369171</v>
      </c>
      <c r="E183" s="4">
        <f t="shared" si="26"/>
        <v>1931.7951145995737</v>
      </c>
      <c r="F183" s="1">
        <f t="shared" si="21"/>
        <v>136105.90806723759</v>
      </c>
      <c r="G183" s="1">
        <f t="shared" si="22"/>
        <v>17.254712897729647</v>
      </c>
      <c r="H183" s="4">
        <f t="shared" si="23"/>
        <v>2351.6597951109952</v>
      </c>
    </row>
    <row r="184" spans="1:8" x14ac:dyDescent="0.25">
      <c r="A184">
        <f t="shared" si="28"/>
        <v>177</v>
      </c>
      <c r="B184" s="1">
        <f t="shared" si="25"/>
        <v>136105.90806723759</v>
      </c>
      <c r="C184" s="4">
        <f t="shared" si="19"/>
        <v>2334.4050822132654</v>
      </c>
      <c r="D184" s="1">
        <f t="shared" si="20"/>
        <v>396.9755651961097</v>
      </c>
      <c r="E184" s="4">
        <f t="shared" si="26"/>
        <v>1937.4295170171556</v>
      </c>
      <c r="F184" s="1">
        <f t="shared" si="21"/>
        <v>134168.47855022043</v>
      </c>
      <c r="G184" s="1">
        <f t="shared" si="22"/>
        <v>17.013238508404701</v>
      </c>
      <c r="H184" s="4">
        <f t="shared" si="23"/>
        <v>2351.4183207216702</v>
      </c>
    </row>
    <row r="185" spans="1:8" x14ac:dyDescent="0.25">
      <c r="A185">
        <f t="shared" si="28"/>
        <v>178</v>
      </c>
      <c r="B185" s="1">
        <f t="shared" si="25"/>
        <v>134168.47855022043</v>
      </c>
      <c r="C185" s="4">
        <f t="shared" si="19"/>
        <v>2334.4050822132654</v>
      </c>
      <c r="D185" s="1">
        <f t="shared" si="20"/>
        <v>391.32472910480965</v>
      </c>
      <c r="E185" s="4">
        <f t="shared" si="26"/>
        <v>1943.0803531084557</v>
      </c>
      <c r="F185" s="1">
        <f t="shared" si="21"/>
        <v>132225.39819711196</v>
      </c>
      <c r="G185" s="1">
        <f t="shared" si="22"/>
        <v>16.771059818777555</v>
      </c>
      <c r="H185" s="4">
        <f t="shared" si="23"/>
        <v>2351.1761420320431</v>
      </c>
    </row>
    <row r="186" spans="1:8" x14ac:dyDescent="0.25">
      <c r="A186">
        <f t="shared" si="28"/>
        <v>179</v>
      </c>
      <c r="B186" s="1">
        <f t="shared" si="25"/>
        <v>132225.39819711196</v>
      </c>
      <c r="C186" s="4">
        <f t="shared" si="19"/>
        <v>2334.4050822132654</v>
      </c>
      <c r="D186" s="1">
        <f t="shared" si="20"/>
        <v>385.65741140824326</v>
      </c>
      <c r="E186" s="4">
        <f t="shared" si="26"/>
        <v>1948.7476708050222</v>
      </c>
      <c r="F186" s="1">
        <f t="shared" si="21"/>
        <v>130276.65052630694</v>
      </c>
      <c r="G186" s="1">
        <f t="shared" si="22"/>
        <v>16.528174774638995</v>
      </c>
      <c r="H186" s="4">
        <f t="shared" si="23"/>
        <v>2350.9332569879043</v>
      </c>
    </row>
    <row r="187" spans="1:8" x14ac:dyDescent="0.25">
      <c r="A187">
        <f t="shared" si="28"/>
        <v>180</v>
      </c>
      <c r="B187" s="1">
        <f t="shared" si="25"/>
        <v>130276.65052630694</v>
      </c>
      <c r="C187" s="4">
        <f t="shared" si="19"/>
        <v>2334.4050822132654</v>
      </c>
      <c r="D187" s="1">
        <f t="shared" si="20"/>
        <v>379.973564035062</v>
      </c>
      <c r="E187" s="4">
        <f t="shared" si="26"/>
        <v>1954.4315181782033</v>
      </c>
      <c r="F187" s="1">
        <f t="shared" si="21"/>
        <v>128322.21900812874</v>
      </c>
      <c r="G187" s="1">
        <f t="shared" si="22"/>
        <v>16.284581315788369</v>
      </c>
      <c r="H187" s="4">
        <f t="shared" si="23"/>
        <v>2350.6896635290536</v>
      </c>
    </row>
    <row r="188" spans="1:8" x14ac:dyDescent="0.25">
      <c r="A188">
        <f t="shared" si="28"/>
        <v>181</v>
      </c>
      <c r="B188" s="1">
        <f t="shared" si="25"/>
        <v>128322.21900812874</v>
      </c>
      <c r="C188" s="4">
        <f t="shared" si="19"/>
        <v>2334.4050822132654</v>
      </c>
      <c r="D188" s="1">
        <f t="shared" si="20"/>
        <v>374.27313877370881</v>
      </c>
      <c r="E188" s="4">
        <f t="shared" si="26"/>
        <v>1960.1319434395566</v>
      </c>
      <c r="F188" s="1">
        <f t="shared" si="21"/>
        <v>126362.08706468919</v>
      </c>
      <c r="G188" s="1">
        <f t="shared" si="22"/>
        <v>16.040277376016093</v>
      </c>
      <c r="H188" s="4">
        <f t="shared" si="23"/>
        <v>2350.4453595892815</v>
      </c>
    </row>
    <row r="189" spans="1:8" x14ac:dyDescent="0.25">
      <c r="A189">
        <f t="shared" si="28"/>
        <v>182</v>
      </c>
      <c r="B189" s="1">
        <f t="shared" si="25"/>
        <v>126362.08706468919</v>
      </c>
      <c r="C189" s="4">
        <f t="shared" si="19"/>
        <v>2334.4050822132654</v>
      </c>
      <c r="D189" s="1">
        <f t="shared" si="20"/>
        <v>368.55608727201019</v>
      </c>
      <c r="E189" s="4">
        <f t="shared" si="26"/>
        <v>1965.8489949412551</v>
      </c>
      <c r="F189" s="1">
        <f t="shared" si="21"/>
        <v>124396.23806974792</v>
      </c>
      <c r="G189" s="1">
        <f t="shared" si="22"/>
        <v>15.795260883086149</v>
      </c>
      <c r="H189" s="4">
        <f t="shared" si="23"/>
        <v>2350.2003430963514</v>
      </c>
    </row>
    <row r="190" spans="1:8" x14ac:dyDescent="0.25">
      <c r="A190">
        <f t="shared" si="28"/>
        <v>183</v>
      </c>
      <c r="B190" s="1">
        <f t="shared" si="25"/>
        <v>124396.23806974792</v>
      </c>
      <c r="C190" s="4">
        <f t="shared" si="19"/>
        <v>2334.4050822132654</v>
      </c>
      <c r="D190" s="1">
        <f t="shared" si="20"/>
        <v>362.82236103676479</v>
      </c>
      <c r="E190" s="4">
        <f t="shared" si="26"/>
        <v>1971.5827211765006</v>
      </c>
      <c r="F190" s="1">
        <f t="shared" si="21"/>
        <v>122424.65534857142</v>
      </c>
      <c r="G190" s="1">
        <f t="shared" si="22"/>
        <v>15.54952975871849</v>
      </c>
      <c r="H190" s="4">
        <f t="shared" si="23"/>
        <v>2349.9546119719839</v>
      </c>
    </row>
    <row r="191" spans="1:8" x14ac:dyDescent="0.25">
      <c r="A191">
        <f t="shared" si="28"/>
        <v>184</v>
      </c>
      <c r="B191" s="1">
        <f t="shared" si="25"/>
        <v>122424.65534857142</v>
      </c>
      <c r="C191" s="4">
        <f t="shared" si="19"/>
        <v>2334.4050822132654</v>
      </c>
      <c r="D191" s="1">
        <f t="shared" si="20"/>
        <v>357.07191143333336</v>
      </c>
      <c r="E191" s="4">
        <f t="shared" si="26"/>
        <v>1977.3331707799321</v>
      </c>
      <c r="F191" s="1">
        <f t="shared" si="21"/>
        <v>120447.32217779149</v>
      </c>
      <c r="G191" s="1">
        <f t="shared" si="22"/>
        <v>15.303081918571429</v>
      </c>
      <c r="H191" s="4">
        <f t="shared" si="23"/>
        <v>2349.7081641318368</v>
      </c>
    </row>
    <row r="192" spans="1:8" x14ac:dyDescent="0.25">
      <c r="A192">
        <f t="shared" si="28"/>
        <v>185</v>
      </c>
      <c r="B192" s="1">
        <f t="shared" si="25"/>
        <v>120447.32217779149</v>
      </c>
      <c r="C192" s="4">
        <f t="shared" si="19"/>
        <v>2334.4050822132654</v>
      </c>
      <c r="D192" s="1">
        <f t="shared" si="20"/>
        <v>351.30468968522518</v>
      </c>
      <c r="E192" s="4">
        <f t="shared" si="26"/>
        <v>1983.1003925280402</v>
      </c>
      <c r="F192" s="1">
        <f t="shared" si="21"/>
        <v>118464.22178526345</v>
      </c>
      <c r="G192" s="1">
        <f t="shared" si="22"/>
        <v>15.055915272223936</v>
      </c>
      <c r="H192" s="4">
        <f t="shared" si="23"/>
        <v>2349.4609974854893</v>
      </c>
    </row>
    <row r="193" spans="1:8" x14ac:dyDescent="0.25">
      <c r="A193">
        <f t="shared" si="28"/>
        <v>186</v>
      </c>
      <c r="B193" s="1">
        <f t="shared" si="25"/>
        <v>118464.22178526345</v>
      </c>
      <c r="C193" s="4">
        <f t="shared" si="19"/>
        <v>2334.4050822132654</v>
      </c>
      <c r="D193" s="1">
        <f t="shared" si="20"/>
        <v>345.52064687368511</v>
      </c>
      <c r="E193" s="4">
        <f t="shared" si="26"/>
        <v>1988.8844353395803</v>
      </c>
      <c r="F193" s="1">
        <f t="shared" si="21"/>
        <v>116475.33734992387</v>
      </c>
      <c r="G193" s="1">
        <f t="shared" si="22"/>
        <v>14.808027723157933</v>
      </c>
      <c r="H193" s="4">
        <f t="shared" si="23"/>
        <v>2349.2131099364233</v>
      </c>
    </row>
    <row r="194" spans="1:8" x14ac:dyDescent="0.25">
      <c r="A194">
        <f t="shared" si="28"/>
        <v>187</v>
      </c>
      <c r="B194" s="1">
        <f t="shared" si="25"/>
        <v>116475.33734992387</v>
      </c>
      <c r="C194" s="4">
        <f t="shared" si="19"/>
        <v>2334.4050822132654</v>
      </c>
      <c r="D194" s="1">
        <f t="shared" si="20"/>
        <v>339.71973393727797</v>
      </c>
      <c r="E194" s="4">
        <f t="shared" si="26"/>
        <v>1994.6853482759875</v>
      </c>
      <c r="F194" s="1">
        <f t="shared" si="21"/>
        <v>114480.65200164788</v>
      </c>
      <c r="G194" s="1">
        <f t="shared" si="22"/>
        <v>14.559417168740483</v>
      </c>
      <c r="H194" s="4">
        <f t="shared" si="23"/>
        <v>2348.9644993820057</v>
      </c>
    </row>
    <row r="195" spans="1:8" x14ac:dyDescent="0.25">
      <c r="A195">
        <f t="shared" si="28"/>
        <v>188</v>
      </c>
      <c r="B195" s="1">
        <f t="shared" si="25"/>
        <v>114480.65200164788</v>
      </c>
      <c r="C195" s="4">
        <f t="shared" si="19"/>
        <v>2334.4050822132654</v>
      </c>
      <c r="D195" s="1">
        <f t="shared" si="20"/>
        <v>333.90190167147301</v>
      </c>
      <c r="E195" s="4">
        <f t="shared" si="26"/>
        <v>2000.5031805417923</v>
      </c>
      <c r="F195" s="1">
        <f t="shared" si="21"/>
        <v>112480.14882110608</v>
      </c>
      <c r="G195" s="1">
        <f t="shared" si="22"/>
        <v>14.310081500205984</v>
      </c>
      <c r="H195" s="4">
        <f t="shared" si="23"/>
        <v>2348.7151637134712</v>
      </c>
    </row>
    <row r="196" spans="1:8" x14ac:dyDescent="0.25">
      <c r="A196">
        <f t="shared" si="28"/>
        <v>189</v>
      </c>
      <c r="B196" s="1">
        <f t="shared" si="25"/>
        <v>112480.14882110608</v>
      </c>
      <c r="C196" s="4">
        <f t="shared" si="19"/>
        <v>2334.4050822132654</v>
      </c>
      <c r="D196" s="1">
        <f t="shared" si="20"/>
        <v>328.06710072822608</v>
      </c>
      <c r="E196" s="4">
        <f t="shared" si="26"/>
        <v>2006.3379814850393</v>
      </c>
      <c r="F196" s="1">
        <f t="shared" si="21"/>
        <v>110473.81083962104</v>
      </c>
      <c r="G196" s="1">
        <f t="shared" si="22"/>
        <v>14.060018602638261</v>
      </c>
      <c r="H196" s="4">
        <f t="shared" si="23"/>
        <v>2348.4651008159035</v>
      </c>
    </row>
    <row r="197" spans="1:8" x14ac:dyDescent="0.25">
      <c r="A197">
        <f t="shared" si="28"/>
        <v>190</v>
      </c>
      <c r="B197" s="1">
        <f t="shared" si="25"/>
        <v>110473.81083962104</v>
      </c>
      <c r="C197" s="4">
        <f t="shared" si="19"/>
        <v>2334.4050822132654</v>
      </c>
      <c r="D197" s="1">
        <f t="shared" si="20"/>
        <v>322.21528161556142</v>
      </c>
      <c r="E197" s="4">
        <f t="shared" si="26"/>
        <v>2012.1898005977039</v>
      </c>
      <c r="F197" s="1">
        <f t="shared" si="21"/>
        <v>108461.62103902335</v>
      </c>
      <c r="G197" s="1">
        <f t="shared" si="22"/>
        <v>13.80922635495263</v>
      </c>
      <c r="H197" s="4">
        <f t="shared" si="23"/>
        <v>2348.2143085682178</v>
      </c>
    </row>
    <row r="198" spans="1:8" x14ac:dyDescent="0.25">
      <c r="A198">
        <f t="shared" si="28"/>
        <v>191</v>
      </c>
      <c r="B198" s="1">
        <f t="shared" si="25"/>
        <v>108461.62103902335</v>
      </c>
      <c r="C198" s="4">
        <f t="shared" si="19"/>
        <v>2334.4050822132654</v>
      </c>
      <c r="D198" s="1">
        <f t="shared" si="20"/>
        <v>316.34639469715142</v>
      </c>
      <c r="E198" s="4">
        <f t="shared" si="26"/>
        <v>2018.0586875161139</v>
      </c>
      <c r="F198" s="1">
        <f t="shared" si="21"/>
        <v>106443.56235150724</v>
      </c>
      <c r="G198" s="1">
        <f t="shared" si="22"/>
        <v>13.557702629877918</v>
      </c>
      <c r="H198" s="4">
        <f t="shared" si="23"/>
        <v>2347.9627848431433</v>
      </c>
    </row>
    <row r="199" spans="1:8" x14ac:dyDescent="0.25">
      <c r="A199">
        <f t="shared" si="28"/>
        <v>192</v>
      </c>
      <c r="B199" s="1">
        <f t="shared" si="25"/>
        <v>106443.56235150724</v>
      </c>
      <c r="C199" s="4">
        <f t="shared" si="19"/>
        <v>2334.4050822132654</v>
      </c>
      <c r="D199" s="1">
        <f t="shared" si="20"/>
        <v>310.46039019189612</v>
      </c>
      <c r="E199" s="4">
        <f t="shared" si="26"/>
        <v>2023.9446920213693</v>
      </c>
      <c r="F199" s="1">
        <f t="shared" si="21"/>
        <v>104419.61765948587</v>
      </c>
      <c r="G199" s="1">
        <f t="shared" si="22"/>
        <v>13.305445293938405</v>
      </c>
      <c r="H199" s="4">
        <f t="shared" si="23"/>
        <v>2347.7105275072036</v>
      </c>
    </row>
    <row r="200" spans="1:8" x14ac:dyDescent="0.25">
      <c r="A200">
        <f t="shared" si="28"/>
        <v>193</v>
      </c>
      <c r="B200" s="1">
        <f t="shared" si="25"/>
        <v>104419.61765948587</v>
      </c>
      <c r="C200" s="4">
        <f t="shared" si="19"/>
        <v>2334.4050822132654</v>
      </c>
      <c r="D200" s="1">
        <f t="shared" si="20"/>
        <v>304.55721817350047</v>
      </c>
      <c r="E200" s="4">
        <f t="shared" si="26"/>
        <v>2029.8478640397648</v>
      </c>
      <c r="F200" s="1">
        <f t="shared" si="21"/>
        <v>102389.7697954461</v>
      </c>
      <c r="G200" s="1">
        <f t="shared" si="22"/>
        <v>13.052452207435735</v>
      </c>
      <c r="H200" s="4">
        <f t="shared" si="23"/>
        <v>2347.457534420701</v>
      </c>
    </row>
    <row r="201" spans="1:8" x14ac:dyDescent="0.25">
      <c r="A201">
        <f t="shared" si="28"/>
        <v>194</v>
      </c>
      <c r="B201" s="1">
        <f t="shared" si="25"/>
        <v>102389.7697954461</v>
      </c>
      <c r="C201" s="4">
        <f t="shared" ref="C201:C264" si="29">IF(A201&lt;=$C$3*12,$C$5,0)</f>
        <v>2334.4050822132654</v>
      </c>
      <c r="D201" s="1">
        <f t="shared" ref="D201:D264" si="30">B201*$C$2/12</f>
        <v>298.63682857005114</v>
      </c>
      <c r="E201" s="4">
        <f t="shared" si="26"/>
        <v>2035.7682536432142</v>
      </c>
      <c r="F201" s="1">
        <f t="shared" ref="F201:F264" si="31">MAX(B201-E201,0)</f>
        <v>100354.00154180289</v>
      </c>
      <c r="G201" s="1">
        <f t="shared" ref="G201:G264" si="32">IF(A201&lt;=$C$3*12,B201*$C$4/12,0)</f>
        <v>12.798721224430764</v>
      </c>
      <c r="H201" s="4">
        <f t="shared" ref="H201:H264" si="33">C201+G201</f>
        <v>2347.203803437696</v>
      </c>
    </row>
    <row r="202" spans="1:8" x14ac:dyDescent="0.25">
      <c r="A202">
        <f t="shared" si="28"/>
        <v>195</v>
      </c>
      <c r="B202" s="1">
        <f t="shared" ref="B202:B265" si="34">F201</f>
        <v>100354.00154180289</v>
      </c>
      <c r="C202" s="4">
        <f t="shared" si="29"/>
        <v>2334.4050822132654</v>
      </c>
      <c r="D202" s="1">
        <f t="shared" si="30"/>
        <v>292.69917116359181</v>
      </c>
      <c r="E202" s="4">
        <f t="shared" ref="E202:E265" si="35">IF(C202-D202&lt;0,0,C202-D202)</f>
        <v>2041.7059110496734</v>
      </c>
      <c r="F202" s="1">
        <f t="shared" si="31"/>
        <v>98312.295630753215</v>
      </c>
      <c r="G202" s="1">
        <f t="shared" si="32"/>
        <v>12.544250192725363</v>
      </c>
      <c r="H202" s="4">
        <f t="shared" si="33"/>
        <v>2346.9493324059908</v>
      </c>
    </row>
    <row r="203" spans="1:8" x14ac:dyDescent="0.25">
      <c r="A203">
        <f t="shared" si="28"/>
        <v>196</v>
      </c>
      <c r="B203" s="1">
        <f t="shared" si="34"/>
        <v>98312.295630753215</v>
      </c>
      <c r="C203" s="4">
        <f t="shared" si="29"/>
        <v>2334.4050822132654</v>
      </c>
      <c r="D203" s="1">
        <f t="shared" si="30"/>
        <v>286.74419558969691</v>
      </c>
      <c r="E203" s="4">
        <f t="shared" si="35"/>
        <v>2047.6608866235683</v>
      </c>
      <c r="F203" s="1">
        <f t="shared" si="31"/>
        <v>96264.634744129653</v>
      </c>
      <c r="G203" s="1">
        <f t="shared" si="32"/>
        <v>12.289036953844153</v>
      </c>
      <c r="H203" s="4">
        <f t="shared" si="33"/>
        <v>2346.6941191671094</v>
      </c>
    </row>
    <row r="204" spans="1:8" x14ac:dyDescent="0.25">
      <c r="A204">
        <f t="shared" si="28"/>
        <v>197</v>
      </c>
      <c r="B204" s="1">
        <f t="shared" si="34"/>
        <v>96264.634744129653</v>
      </c>
      <c r="C204" s="4">
        <f t="shared" si="29"/>
        <v>2334.4050822132654</v>
      </c>
      <c r="D204" s="1">
        <f t="shared" si="30"/>
        <v>280.77185133704484</v>
      </c>
      <c r="E204" s="4">
        <f t="shared" si="35"/>
        <v>2053.6332308762203</v>
      </c>
      <c r="F204" s="1">
        <f t="shared" si="31"/>
        <v>94211.001513253432</v>
      </c>
      <c r="G204" s="1">
        <f t="shared" si="32"/>
        <v>12.033079343016206</v>
      </c>
      <c r="H204" s="4">
        <f t="shared" si="33"/>
        <v>2346.4381615562816</v>
      </c>
    </row>
    <row r="205" spans="1:8" x14ac:dyDescent="0.25">
      <c r="A205">
        <f t="shared" si="28"/>
        <v>198</v>
      </c>
      <c r="B205" s="1">
        <f t="shared" si="34"/>
        <v>94211.001513253432</v>
      </c>
      <c r="C205" s="4">
        <f t="shared" si="29"/>
        <v>2334.4050822132654</v>
      </c>
      <c r="D205" s="1">
        <f t="shared" si="30"/>
        <v>274.78208774698919</v>
      </c>
      <c r="E205" s="4">
        <f t="shared" si="35"/>
        <v>2059.6229944662764</v>
      </c>
      <c r="F205" s="1">
        <f t="shared" si="31"/>
        <v>92151.378518787154</v>
      </c>
      <c r="G205" s="1">
        <f t="shared" si="32"/>
        <v>11.776375189156679</v>
      </c>
      <c r="H205" s="4">
        <f t="shared" si="33"/>
        <v>2346.181457402422</v>
      </c>
    </row>
    <row r="206" spans="1:8" x14ac:dyDescent="0.25">
      <c r="A206">
        <f t="shared" si="28"/>
        <v>199</v>
      </c>
      <c r="B206" s="1">
        <f t="shared" si="34"/>
        <v>92151.378518787154</v>
      </c>
      <c r="C206" s="4">
        <f t="shared" si="29"/>
        <v>2334.4050822132654</v>
      </c>
      <c r="D206" s="1">
        <f t="shared" si="30"/>
        <v>268.77485401312924</v>
      </c>
      <c r="E206" s="4">
        <f t="shared" si="35"/>
        <v>2065.6302282001361</v>
      </c>
      <c r="F206" s="1">
        <f t="shared" si="31"/>
        <v>90085.748290587013</v>
      </c>
      <c r="G206" s="1">
        <f t="shared" si="32"/>
        <v>11.518922314848394</v>
      </c>
      <c r="H206" s="4">
        <f t="shared" si="33"/>
        <v>2345.9240045281135</v>
      </c>
    </row>
    <row r="207" spans="1:8" x14ac:dyDescent="0.25">
      <c r="A207">
        <f t="shared" si="28"/>
        <v>200</v>
      </c>
      <c r="B207" s="1">
        <f t="shared" si="34"/>
        <v>90085.748290587013</v>
      </c>
      <c r="C207" s="4">
        <f t="shared" si="29"/>
        <v>2334.4050822132654</v>
      </c>
      <c r="D207" s="1">
        <f t="shared" si="30"/>
        <v>262.75009918087881</v>
      </c>
      <c r="E207" s="4">
        <f t="shared" si="35"/>
        <v>2071.6549830323866</v>
      </c>
      <c r="F207" s="1">
        <f t="shared" si="31"/>
        <v>88014.09330755462</v>
      </c>
      <c r="G207" s="1">
        <f t="shared" si="32"/>
        <v>11.260718536323376</v>
      </c>
      <c r="H207" s="4">
        <f t="shared" si="33"/>
        <v>2345.6658007495889</v>
      </c>
    </row>
    <row r="208" spans="1:8" x14ac:dyDescent="0.25">
      <c r="A208">
        <f>A207+1</f>
        <v>201</v>
      </c>
      <c r="B208" s="1">
        <f t="shared" si="34"/>
        <v>88014.09330755462</v>
      </c>
      <c r="C208" s="4">
        <f t="shared" si="29"/>
        <v>2334.4050822132654</v>
      </c>
      <c r="D208" s="1">
        <f t="shared" si="30"/>
        <v>256.70777214703435</v>
      </c>
      <c r="E208" s="4">
        <f t="shared" si="35"/>
        <v>2077.6973100662308</v>
      </c>
      <c r="F208" s="1">
        <f t="shared" si="31"/>
        <v>85936.395997488391</v>
      </c>
      <c r="G208" s="1">
        <f t="shared" si="32"/>
        <v>11.001761663444327</v>
      </c>
      <c r="H208" s="4">
        <f t="shared" si="33"/>
        <v>2345.4068438767099</v>
      </c>
    </row>
    <row r="209" spans="1:8" x14ac:dyDescent="0.25">
      <c r="A209">
        <f t="shared" ref="A209:A249" si="36">A208+1</f>
        <v>202</v>
      </c>
      <c r="B209" s="1">
        <f t="shared" si="34"/>
        <v>85936.395997488391</v>
      </c>
      <c r="C209" s="4">
        <f t="shared" si="29"/>
        <v>2334.4050822132654</v>
      </c>
      <c r="D209" s="1">
        <f t="shared" si="30"/>
        <v>250.64782165934116</v>
      </c>
      <c r="E209" s="4">
        <f t="shared" si="35"/>
        <v>2083.7572605539244</v>
      </c>
      <c r="F209" s="1">
        <f t="shared" si="31"/>
        <v>83852.638736934459</v>
      </c>
      <c r="G209" s="1">
        <f t="shared" si="32"/>
        <v>10.742049499686049</v>
      </c>
      <c r="H209" s="4">
        <f t="shared" si="33"/>
        <v>2345.1471317129512</v>
      </c>
    </row>
    <row r="210" spans="1:8" x14ac:dyDescent="0.25">
      <c r="A210">
        <f t="shared" si="36"/>
        <v>203</v>
      </c>
      <c r="B210" s="1">
        <f t="shared" si="34"/>
        <v>83852.638736934459</v>
      </c>
      <c r="C210" s="4">
        <f t="shared" si="29"/>
        <v>2334.4050822132654</v>
      </c>
      <c r="D210" s="1">
        <f t="shared" si="30"/>
        <v>244.57019631605885</v>
      </c>
      <c r="E210" s="4">
        <f t="shared" si="35"/>
        <v>2089.8348858972067</v>
      </c>
      <c r="F210" s="1">
        <f t="shared" si="31"/>
        <v>81762.803851037257</v>
      </c>
      <c r="G210" s="1">
        <f t="shared" si="32"/>
        <v>10.481579842116806</v>
      </c>
      <c r="H210" s="4">
        <f t="shared" si="33"/>
        <v>2344.8866620553822</v>
      </c>
    </row>
    <row r="211" spans="1:8" x14ac:dyDescent="0.25">
      <c r="A211">
        <f t="shared" si="36"/>
        <v>204</v>
      </c>
      <c r="B211" s="1">
        <f t="shared" si="34"/>
        <v>81762.803851037257</v>
      </c>
      <c r="C211" s="4">
        <f t="shared" si="29"/>
        <v>2334.4050822132654</v>
      </c>
      <c r="D211" s="1">
        <f t="shared" si="30"/>
        <v>238.47484456552536</v>
      </c>
      <c r="E211" s="4">
        <f t="shared" si="35"/>
        <v>2095.9302376477399</v>
      </c>
      <c r="F211" s="1">
        <f t="shared" si="31"/>
        <v>79666.873613389515</v>
      </c>
      <c r="G211" s="1">
        <f t="shared" si="32"/>
        <v>10.220350481379658</v>
      </c>
      <c r="H211" s="4">
        <f t="shared" si="33"/>
        <v>2344.625432694645</v>
      </c>
    </row>
    <row r="212" spans="1:8" x14ac:dyDescent="0.25">
      <c r="A212">
        <f t="shared" si="36"/>
        <v>205</v>
      </c>
      <c r="B212" s="1">
        <f t="shared" si="34"/>
        <v>79666.873613389515</v>
      </c>
      <c r="C212" s="4">
        <f t="shared" si="29"/>
        <v>2334.4050822132654</v>
      </c>
      <c r="D212" s="1">
        <f t="shared" si="30"/>
        <v>232.36171470571944</v>
      </c>
      <c r="E212" s="4">
        <f t="shared" si="35"/>
        <v>2102.043367507546</v>
      </c>
      <c r="F212" s="1">
        <f t="shared" si="31"/>
        <v>77564.830245881967</v>
      </c>
      <c r="G212" s="1">
        <f t="shared" si="32"/>
        <v>9.958359201673689</v>
      </c>
      <c r="H212" s="4">
        <f t="shared" si="33"/>
        <v>2344.3634414149392</v>
      </c>
    </row>
    <row r="213" spans="1:8" x14ac:dyDescent="0.25">
      <c r="A213">
        <f t="shared" si="36"/>
        <v>206</v>
      </c>
      <c r="B213" s="1">
        <f t="shared" si="34"/>
        <v>77564.830245881967</v>
      </c>
      <c r="C213" s="4">
        <f t="shared" si="29"/>
        <v>2334.4050822132654</v>
      </c>
      <c r="D213" s="1">
        <f t="shared" si="30"/>
        <v>226.23075488382244</v>
      </c>
      <c r="E213" s="4">
        <f t="shared" si="35"/>
        <v>2108.1743273294428</v>
      </c>
      <c r="F213" s="1">
        <f t="shared" si="31"/>
        <v>75456.655918552526</v>
      </c>
      <c r="G213" s="1">
        <f t="shared" si="32"/>
        <v>9.6956037807352455</v>
      </c>
      <c r="H213" s="4">
        <f t="shared" si="33"/>
        <v>2344.1006859940007</v>
      </c>
    </row>
    <row r="214" spans="1:8" x14ac:dyDescent="0.25">
      <c r="A214">
        <f t="shared" si="36"/>
        <v>207</v>
      </c>
      <c r="B214" s="1">
        <f t="shared" si="34"/>
        <v>75456.655918552526</v>
      </c>
      <c r="C214" s="4">
        <f t="shared" si="29"/>
        <v>2334.4050822132654</v>
      </c>
      <c r="D214" s="1">
        <f t="shared" si="30"/>
        <v>220.08191309577822</v>
      </c>
      <c r="E214" s="4">
        <f t="shared" si="35"/>
        <v>2114.3231691174869</v>
      </c>
      <c r="F214" s="1">
        <f t="shared" si="31"/>
        <v>73342.332749435038</v>
      </c>
      <c r="G214" s="1">
        <f t="shared" si="32"/>
        <v>9.432081989819066</v>
      </c>
      <c r="H214" s="4">
        <f t="shared" si="33"/>
        <v>2343.8371642030843</v>
      </c>
    </row>
    <row r="215" spans="1:8" x14ac:dyDescent="0.25">
      <c r="A215">
        <f t="shared" si="36"/>
        <v>208</v>
      </c>
      <c r="B215" s="1">
        <f t="shared" si="34"/>
        <v>73342.332749435038</v>
      </c>
      <c r="C215" s="4">
        <f t="shared" si="29"/>
        <v>2334.4050822132654</v>
      </c>
      <c r="D215" s="1">
        <f t="shared" si="30"/>
        <v>213.91513718585222</v>
      </c>
      <c r="E215" s="4">
        <f t="shared" si="35"/>
        <v>2120.4899450274133</v>
      </c>
      <c r="F215" s="1">
        <f t="shared" si="31"/>
        <v>71221.842804407628</v>
      </c>
      <c r="G215" s="1">
        <f t="shared" si="32"/>
        <v>9.1677915936793806</v>
      </c>
      <c r="H215" s="4">
        <f t="shared" si="33"/>
        <v>2343.5728738069447</v>
      </c>
    </row>
    <row r="216" spans="1:8" x14ac:dyDescent="0.25">
      <c r="A216">
        <f t="shared" si="36"/>
        <v>209</v>
      </c>
      <c r="B216" s="1">
        <f t="shared" si="34"/>
        <v>71221.842804407628</v>
      </c>
      <c r="C216" s="4">
        <f t="shared" si="29"/>
        <v>2334.4050822132654</v>
      </c>
      <c r="D216" s="1">
        <f t="shared" si="30"/>
        <v>207.73037484618894</v>
      </c>
      <c r="E216" s="4">
        <f t="shared" si="35"/>
        <v>2126.6747073670763</v>
      </c>
      <c r="F216" s="1">
        <f t="shared" si="31"/>
        <v>69095.168097040558</v>
      </c>
      <c r="G216" s="1">
        <f t="shared" si="32"/>
        <v>8.9027303505509536</v>
      </c>
      <c r="H216" s="4">
        <f t="shared" si="33"/>
        <v>2343.3078125638162</v>
      </c>
    </row>
    <row r="217" spans="1:8" x14ac:dyDescent="0.25">
      <c r="A217">
        <f t="shared" si="36"/>
        <v>210</v>
      </c>
      <c r="B217" s="1">
        <f t="shared" si="34"/>
        <v>69095.168097040558</v>
      </c>
      <c r="C217" s="4">
        <f t="shared" si="29"/>
        <v>2334.4050822132654</v>
      </c>
      <c r="D217" s="1">
        <f t="shared" si="30"/>
        <v>201.5275736163683</v>
      </c>
      <c r="E217" s="4">
        <f t="shared" si="35"/>
        <v>2132.8775085968969</v>
      </c>
      <c r="F217" s="1">
        <f t="shared" si="31"/>
        <v>66962.290588443662</v>
      </c>
      <c r="G217" s="1">
        <f t="shared" si="32"/>
        <v>8.6368960121300695</v>
      </c>
      <c r="H217" s="4">
        <f t="shared" si="33"/>
        <v>2343.0419782253953</v>
      </c>
    </row>
    <row r="218" spans="1:8" x14ac:dyDescent="0.25">
      <c r="A218">
        <f t="shared" si="36"/>
        <v>211</v>
      </c>
      <c r="B218" s="1">
        <f t="shared" si="34"/>
        <v>66962.290588443662</v>
      </c>
      <c r="C218" s="4">
        <f t="shared" si="29"/>
        <v>2334.4050822132654</v>
      </c>
      <c r="D218" s="1">
        <f t="shared" si="30"/>
        <v>195.30668088296071</v>
      </c>
      <c r="E218" s="4">
        <f t="shared" si="35"/>
        <v>2139.0984013303046</v>
      </c>
      <c r="F218" s="1">
        <f t="shared" si="31"/>
        <v>64823.19218711336</v>
      </c>
      <c r="G218" s="1">
        <f t="shared" si="32"/>
        <v>8.3702863235554581</v>
      </c>
      <c r="H218" s="4">
        <f t="shared" si="33"/>
        <v>2342.7753685368207</v>
      </c>
    </row>
    <row r="219" spans="1:8" x14ac:dyDescent="0.25">
      <c r="A219">
        <f t="shared" si="36"/>
        <v>212</v>
      </c>
      <c r="B219" s="1">
        <f t="shared" si="34"/>
        <v>64823.19218711336</v>
      </c>
      <c r="C219" s="4">
        <f t="shared" si="29"/>
        <v>2334.4050822132654</v>
      </c>
      <c r="D219" s="1">
        <f t="shared" si="30"/>
        <v>189.06764387908063</v>
      </c>
      <c r="E219" s="4">
        <f t="shared" si="35"/>
        <v>2145.3374383341848</v>
      </c>
      <c r="F219" s="1">
        <f t="shared" si="31"/>
        <v>62677.854748779173</v>
      </c>
      <c r="G219" s="1">
        <f t="shared" si="32"/>
        <v>8.1028990233891705</v>
      </c>
      <c r="H219" s="4">
        <f t="shared" si="33"/>
        <v>2342.5079812366544</v>
      </c>
    </row>
    <row r="220" spans="1:8" x14ac:dyDescent="0.25">
      <c r="A220">
        <f t="shared" si="36"/>
        <v>213</v>
      </c>
      <c r="B220" s="1">
        <f t="shared" si="34"/>
        <v>62677.854748779173</v>
      </c>
      <c r="C220" s="4">
        <f t="shared" si="29"/>
        <v>2334.4050822132654</v>
      </c>
      <c r="D220" s="1">
        <f t="shared" si="30"/>
        <v>182.81040968393927</v>
      </c>
      <c r="E220" s="4">
        <f t="shared" si="35"/>
        <v>2151.5946725293261</v>
      </c>
      <c r="F220" s="1">
        <f t="shared" si="31"/>
        <v>60526.260076249848</v>
      </c>
      <c r="G220" s="1">
        <f t="shared" si="32"/>
        <v>7.8347318435973969</v>
      </c>
      <c r="H220" s="4">
        <f t="shared" si="33"/>
        <v>2342.2398140568625</v>
      </c>
    </row>
    <row r="221" spans="1:8" x14ac:dyDescent="0.25">
      <c r="A221">
        <f t="shared" si="36"/>
        <v>214</v>
      </c>
      <c r="B221" s="1">
        <f t="shared" si="34"/>
        <v>60526.260076249848</v>
      </c>
      <c r="C221" s="4">
        <f t="shared" si="29"/>
        <v>2334.4050822132654</v>
      </c>
      <c r="D221" s="1">
        <f t="shared" si="30"/>
        <v>176.5349252223954</v>
      </c>
      <c r="E221" s="4">
        <f t="shared" si="35"/>
        <v>2157.8701569908699</v>
      </c>
      <c r="F221" s="1">
        <f t="shared" si="31"/>
        <v>58368.389919258974</v>
      </c>
      <c r="G221" s="1">
        <f t="shared" si="32"/>
        <v>7.565782509531231</v>
      </c>
      <c r="H221" s="4">
        <f t="shared" si="33"/>
        <v>2341.9708647227967</v>
      </c>
    </row>
    <row r="222" spans="1:8" x14ac:dyDescent="0.25">
      <c r="A222">
        <f t="shared" si="36"/>
        <v>215</v>
      </c>
      <c r="B222" s="1">
        <f t="shared" si="34"/>
        <v>58368.389919258974</v>
      </c>
      <c r="C222" s="4">
        <f t="shared" si="29"/>
        <v>2334.4050822132654</v>
      </c>
      <c r="D222" s="1">
        <f t="shared" si="30"/>
        <v>170.24113726450534</v>
      </c>
      <c r="E222" s="4">
        <f t="shared" si="35"/>
        <v>2164.1639449487602</v>
      </c>
      <c r="F222" s="1">
        <f t="shared" si="31"/>
        <v>56204.225974310211</v>
      </c>
      <c r="G222" s="1">
        <f t="shared" si="32"/>
        <v>7.2960487399073726</v>
      </c>
      <c r="H222" s="4">
        <f t="shared" si="33"/>
        <v>2341.7011309531727</v>
      </c>
    </row>
    <row r="223" spans="1:8" x14ac:dyDescent="0.25">
      <c r="A223">
        <f t="shared" si="36"/>
        <v>216</v>
      </c>
      <c r="B223" s="1">
        <f t="shared" si="34"/>
        <v>56204.225974310211</v>
      </c>
      <c r="C223" s="4">
        <f t="shared" si="29"/>
        <v>2334.4050822132654</v>
      </c>
      <c r="D223" s="1">
        <f t="shared" si="30"/>
        <v>163.92899242507147</v>
      </c>
      <c r="E223" s="4">
        <f t="shared" si="35"/>
        <v>2170.4760897881938</v>
      </c>
      <c r="F223" s="1">
        <f t="shared" si="31"/>
        <v>54033.749884522018</v>
      </c>
      <c r="G223" s="1">
        <f t="shared" si="32"/>
        <v>7.0255282467887765</v>
      </c>
      <c r="H223" s="4">
        <f t="shared" si="33"/>
        <v>2341.4306104600541</v>
      </c>
    </row>
    <row r="224" spans="1:8" x14ac:dyDescent="0.25">
      <c r="A224">
        <f t="shared" si="36"/>
        <v>217</v>
      </c>
      <c r="B224" s="1">
        <f t="shared" si="34"/>
        <v>54033.749884522018</v>
      </c>
      <c r="C224" s="4">
        <f t="shared" si="29"/>
        <v>2334.4050822132654</v>
      </c>
      <c r="D224" s="1">
        <f t="shared" si="30"/>
        <v>157.59843716318923</v>
      </c>
      <c r="E224" s="4">
        <f t="shared" si="35"/>
        <v>2176.806645050076</v>
      </c>
      <c r="F224" s="1">
        <f t="shared" si="31"/>
        <v>51856.943239471941</v>
      </c>
      <c r="G224" s="1">
        <f t="shared" si="32"/>
        <v>6.7542187355652521</v>
      </c>
      <c r="H224" s="4">
        <f t="shared" si="33"/>
        <v>2341.1593009488306</v>
      </c>
    </row>
    <row r="225" spans="1:8" x14ac:dyDescent="0.25">
      <c r="A225">
        <f t="shared" si="36"/>
        <v>218</v>
      </c>
      <c r="B225" s="1">
        <f t="shared" si="34"/>
        <v>51856.943239471941</v>
      </c>
      <c r="C225" s="4">
        <f t="shared" si="29"/>
        <v>2334.4050822132654</v>
      </c>
      <c r="D225" s="1">
        <f t="shared" si="30"/>
        <v>151.24941778179317</v>
      </c>
      <c r="E225" s="4">
        <f t="shared" si="35"/>
        <v>2183.1556644314724</v>
      </c>
      <c r="F225" s="1">
        <f t="shared" si="31"/>
        <v>49673.787575040471</v>
      </c>
      <c r="G225" s="1">
        <f t="shared" si="32"/>
        <v>6.4821179049339932</v>
      </c>
      <c r="H225" s="4">
        <f t="shared" si="33"/>
        <v>2340.8872001181994</v>
      </c>
    </row>
    <row r="226" spans="1:8" x14ac:dyDescent="0.25">
      <c r="A226">
        <f t="shared" si="36"/>
        <v>219</v>
      </c>
      <c r="B226" s="1">
        <f t="shared" si="34"/>
        <v>49673.787575040471</v>
      </c>
      <c r="C226" s="4">
        <f t="shared" si="29"/>
        <v>2334.4050822132654</v>
      </c>
      <c r="D226" s="1">
        <f t="shared" si="30"/>
        <v>144.88188042720139</v>
      </c>
      <c r="E226" s="4">
        <f t="shared" si="35"/>
        <v>2189.523201786064</v>
      </c>
      <c r="F226" s="1">
        <f t="shared" si="31"/>
        <v>47484.264373254409</v>
      </c>
      <c r="G226" s="1">
        <f t="shared" si="32"/>
        <v>6.2092234468800589</v>
      </c>
      <c r="H226" s="4">
        <f t="shared" si="33"/>
        <v>2340.6143056601454</v>
      </c>
    </row>
    <row r="227" spans="1:8" x14ac:dyDescent="0.25">
      <c r="A227">
        <f t="shared" si="36"/>
        <v>220</v>
      </c>
      <c r="B227" s="1">
        <f t="shared" si="34"/>
        <v>47484.264373254409</v>
      </c>
      <c r="C227" s="4">
        <f t="shared" si="29"/>
        <v>2334.4050822132654</v>
      </c>
      <c r="D227" s="1">
        <f t="shared" si="30"/>
        <v>138.4957710886587</v>
      </c>
      <c r="E227" s="4">
        <f t="shared" si="35"/>
        <v>2195.9093111246066</v>
      </c>
      <c r="F227" s="1">
        <f t="shared" si="31"/>
        <v>45288.355062129805</v>
      </c>
      <c r="G227" s="1">
        <f t="shared" si="32"/>
        <v>5.9355330466568015</v>
      </c>
      <c r="H227" s="4">
        <f t="shared" si="33"/>
        <v>2340.3406152599223</v>
      </c>
    </row>
    <row r="228" spans="1:8" x14ac:dyDescent="0.25">
      <c r="A228">
        <f t="shared" si="36"/>
        <v>221</v>
      </c>
      <c r="B228" s="1">
        <f t="shared" si="34"/>
        <v>45288.355062129805</v>
      </c>
      <c r="C228" s="4">
        <f t="shared" si="29"/>
        <v>2334.4050822132654</v>
      </c>
      <c r="D228" s="1">
        <f t="shared" si="30"/>
        <v>132.09103559787863</v>
      </c>
      <c r="E228" s="4">
        <f t="shared" si="35"/>
        <v>2202.3140466153868</v>
      </c>
      <c r="F228" s="1">
        <f t="shared" si="31"/>
        <v>43086.04101551442</v>
      </c>
      <c r="G228" s="1">
        <f t="shared" si="32"/>
        <v>5.6610443827662253</v>
      </c>
      <c r="H228" s="4">
        <f t="shared" si="33"/>
        <v>2340.0661265960316</v>
      </c>
    </row>
    <row r="229" spans="1:8" x14ac:dyDescent="0.25">
      <c r="A229">
        <f t="shared" si="36"/>
        <v>222</v>
      </c>
      <c r="B229" s="1">
        <f t="shared" si="34"/>
        <v>43086.04101551442</v>
      </c>
      <c r="C229" s="4">
        <f t="shared" si="29"/>
        <v>2334.4050822132654</v>
      </c>
      <c r="D229" s="1">
        <f t="shared" si="30"/>
        <v>125.66761962858374</v>
      </c>
      <c r="E229" s="4">
        <f t="shared" si="35"/>
        <v>2208.7374625846815</v>
      </c>
      <c r="F229" s="1">
        <f t="shared" si="31"/>
        <v>40877.303552929741</v>
      </c>
      <c r="G229" s="1">
        <f t="shared" si="32"/>
        <v>5.3857551269393023</v>
      </c>
      <c r="H229" s="4">
        <f t="shared" si="33"/>
        <v>2339.7908373402047</v>
      </c>
    </row>
    <row r="230" spans="1:8" x14ac:dyDescent="0.25">
      <c r="A230">
        <f t="shared" si="36"/>
        <v>223</v>
      </c>
      <c r="B230" s="1">
        <f t="shared" si="34"/>
        <v>40877.303552929741</v>
      </c>
      <c r="C230" s="4">
        <f t="shared" si="29"/>
        <v>2334.4050822132654</v>
      </c>
      <c r="D230" s="1">
        <f t="shared" si="30"/>
        <v>119.22546869604508</v>
      </c>
      <c r="E230" s="4">
        <f t="shared" si="35"/>
        <v>2215.1796135172203</v>
      </c>
      <c r="F230" s="1">
        <f t="shared" si="31"/>
        <v>38662.123939412522</v>
      </c>
      <c r="G230" s="1">
        <f t="shared" si="32"/>
        <v>5.1096629441162174</v>
      </c>
      <c r="H230" s="4">
        <f t="shared" si="33"/>
        <v>2339.5147451573816</v>
      </c>
    </row>
    <row r="231" spans="1:8" x14ac:dyDescent="0.25">
      <c r="A231">
        <f t="shared" si="36"/>
        <v>224</v>
      </c>
      <c r="B231" s="1">
        <f t="shared" si="34"/>
        <v>38662.123939412522</v>
      </c>
      <c r="C231" s="4">
        <f t="shared" si="29"/>
        <v>2334.4050822132654</v>
      </c>
      <c r="D231" s="1">
        <f t="shared" si="30"/>
        <v>112.76452815661986</v>
      </c>
      <c r="E231" s="4">
        <f t="shared" si="35"/>
        <v>2221.6405540566457</v>
      </c>
      <c r="F231" s="1">
        <f t="shared" si="31"/>
        <v>36440.483385355874</v>
      </c>
      <c r="G231" s="1">
        <f t="shared" si="32"/>
        <v>4.8327654924265655</v>
      </c>
      <c r="H231" s="4">
        <f t="shared" si="33"/>
        <v>2339.2378477056918</v>
      </c>
    </row>
    <row r="232" spans="1:8" x14ac:dyDescent="0.25">
      <c r="A232">
        <f t="shared" si="36"/>
        <v>225</v>
      </c>
      <c r="B232" s="1">
        <f t="shared" si="34"/>
        <v>36440.483385355874</v>
      </c>
      <c r="C232" s="4">
        <f t="shared" si="29"/>
        <v>2334.4050822132654</v>
      </c>
      <c r="D232" s="1">
        <f t="shared" si="30"/>
        <v>106.28474320728797</v>
      </c>
      <c r="E232" s="4">
        <f t="shared" si="35"/>
        <v>2228.1203390059773</v>
      </c>
      <c r="F232" s="1">
        <f t="shared" si="31"/>
        <v>34212.363046349899</v>
      </c>
      <c r="G232" s="1">
        <f t="shared" si="32"/>
        <v>4.5550604231694845</v>
      </c>
      <c r="H232" s="4">
        <f t="shared" si="33"/>
        <v>2338.9601426364347</v>
      </c>
    </row>
    <row r="233" spans="1:8" x14ac:dyDescent="0.25">
      <c r="A233">
        <f t="shared" si="36"/>
        <v>226</v>
      </c>
      <c r="B233" s="1">
        <f t="shared" si="34"/>
        <v>34212.363046349899</v>
      </c>
      <c r="C233" s="4">
        <f t="shared" si="29"/>
        <v>2334.4050822132654</v>
      </c>
      <c r="D233" s="1">
        <f t="shared" si="30"/>
        <v>99.786058885187217</v>
      </c>
      <c r="E233" s="4">
        <f t="shared" si="35"/>
        <v>2234.6190233280781</v>
      </c>
      <c r="F233" s="1">
        <f t="shared" si="31"/>
        <v>31977.74402302182</v>
      </c>
      <c r="G233" s="1">
        <f t="shared" si="32"/>
        <v>4.2765453807937375</v>
      </c>
      <c r="H233" s="4">
        <f t="shared" si="33"/>
        <v>2338.6816275940591</v>
      </c>
    </row>
    <row r="234" spans="1:8" x14ac:dyDescent="0.25">
      <c r="A234">
        <f t="shared" si="36"/>
        <v>227</v>
      </c>
      <c r="B234" s="1">
        <f t="shared" si="34"/>
        <v>31977.74402302182</v>
      </c>
      <c r="C234" s="4">
        <f t="shared" si="29"/>
        <v>2334.4050822132654</v>
      </c>
      <c r="D234" s="1">
        <f t="shared" si="30"/>
        <v>93.268420067146977</v>
      </c>
      <c r="E234" s="4">
        <f t="shared" si="35"/>
        <v>2241.1366621461184</v>
      </c>
      <c r="F234" s="1">
        <f t="shared" si="31"/>
        <v>29736.6073608757</v>
      </c>
      <c r="G234" s="1">
        <f t="shared" si="32"/>
        <v>3.997218002877728</v>
      </c>
      <c r="H234" s="4">
        <f t="shared" si="33"/>
        <v>2338.402300216143</v>
      </c>
    </row>
    <row r="235" spans="1:8" x14ac:dyDescent="0.25">
      <c r="A235">
        <f t="shared" si="36"/>
        <v>228</v>
      </c>
      <c r="B235" s="1">
        <f t="shared" si="34"/>
        <v>29736.6073608757</v>
      </c>
      <c r="C235" s="4">
        <f t="shared" si="29"/>
        <v>2334.4050822132654</v>
      </c>
      <c r="D235" s="1">
        <f t="shared" si="30"/>
        <v>86.731771469220803</v>
      </c>
      <c r="E235" s="4">
        <f t="shared" si="35"/>
        <v>2247.6733107440446</v>
      </c>
      <c r="F235" s="1">
        <f t="shared" si="31"/>
        <v>27488.934050131655</v>
      </c>
      <c r="G235" s="1">
        <f t="shared" si="32"/>
        <v>3.7170759201094623</v>
      </c>
      <c r="H235" s="4">
        <f t="shared" si="33"/>
        <v>2338.1221581333748</v>
      </c>
    </row>
    <row r="236" spans="1:8" x14ac:dyDescent="0.25">
      <c r="A236">
        <f t="shared" si="36"/>
        <v>229</v>
      </c>
      <c r="B236" s="1">
        <f t="shared" si="34"/>
        <v>27488.934050131655</v>
      </c>
      <c r="C236" s="4">
        <f t="shared" si="29"/>
        <v>2334.4050822132654</v>
      </c>
      <c r="D236" s="1">
        <f t="shared" si="30"/>
        <v>80.17605764621733</v>
      </c>
      <c r="E236" s="4">
        <f t="shared" si="35"/>
        <v>2254.2290245670479</v>
      </c>
      <c r="F236" s="1">
        <f t="shared" si="31"/>
        <v>25234.705025564606</v>
      </c>
      <c r="G236" s="1">
        <f t="shared" si="32"/>
        <v>3.4361167562664572</v>
      </c>
      <c r="H236" s="4">
        <f t="shared" si="33"/>
        <v>2337.8411989695319</v>
      </c>
    </row>
    <row r="237" spans="1:8" x14ac:dyDescent="0.25">
      <c r="A237">
        <f t="shared" si="36"/>
        <v>230</v>
      </c>
      <c r="B237" s="1">
        <f t="shared" si="34"/>
        <v>25234.705025564606</v>
      </c>
      <c r="C237" s="4">
        <f t="shared" si="29"/>
        <v>2334.4050822132654</v>
      </c>
      <c r="D237" s="1">
        <f t="shared" si="30"/>
        <v>73.601222991230102</v>
      </c>
      <c r="E237" s="4">
        <f t="shared" si="35"/>
        <v>2260.803859222035</v>
      </c>
      <c r="F237" s="1">
        <f t="shared" si="31"/>
        <v>22973.90116634257</v>
      </c>
      <c r="G237" s="1">
        <f t="shared" si="32"/>
        <v>3.154338128195576</v>
      </c>
      <c r="H237" s="4">
        <f t="shared" si="33"/>
        <v>2337.5594203414607</v>
      </c>
    </row>
    <row r="238" spans="1:8" x14ac:dyDescent="0.25">
      <c r="A238">
        <f t="shared" si="36"/>
        <v>231</v>
      </c>
      <c r="B238" s="1">
        <f t="shared" si="34"/>
        <v>22973.90116634257</v>
      </c>
      <c r="C238" s="4">
        <f t="shared" si="29"/>
        <v>2334.4050822132654</v>
      </c>
      <c r="D238" s="1">
        <f t="shared" si="30"/>
        <v>67.007211735165839</v>
      </c>
      <c r="E238" s="4">
        <f t="shared" si="35"/>
        <v>2267.3978704780993</v>
      </c>
      <c r="F238" s="1">
        <f t="shared" si="31"/>
        <v>20706.50329586447</v>
      </c>
      <c r="G238" s="1">
        <f t="shared" si="32"/>
        <v>2.8717376457928214</v>
      </c>
      <c r="H238" s="4">
        <f t="shared" si="33"/>
        <v>2337.2768198590584</v>
      </c>
    </row>
    <row r="239" spans="1:8" x14ac:dyDescent="0.25">
      <c r="A239">
        <f t="shared" si="36"/>
        <v>232</v>
      </c>
      <c r="B239" s="1">
        <f t="shared" si="34"/>
        <v>20706.50329586447</v>
      </c>
      <c r="C239" s="4">
        <f t="shared" si="29"/>
        <v>2334.4050822132654</v>
      </c>
      <c r="D239" s="1">
        <f t="shared" si="30"/>
        <v>60.393967946271374</v>
      </c>
      <c r="E239" s="4">
        <f t="shared" si="35"/>
        <v>2274.0111142669939</v>
      </c>
      <c r="F239" s="1">
        <f t="shared" si="31"/>
        <v>18432.492181597474</v>
      </c>
      <c r="G239" s="1">
        <f t="shared" si="32"/>
        <v>2.5883129119830586</v>
      </c>
      <c r="H239" s="4">
        <f t="shared" si="33"/>
        <v>2336.9933951252483</v>
      </c>
    </row>
    <row r="240" spans="1:8" x14ac:dyDescent="0.25">
      <c r="A240">
        <f t="shared" si="36"/>
        <v>233</v>
      </c>
      <c r="B240" s="1">
        <f t="shared" si="34"/>
        <v>18432.492181597474</v>
      </c>
      <c r="C240" s="4">
        <f t="shared" si="29"/>
        <v>2334.4050822132654</v>
      </c>
      <c r="D240" s="1">
        <f t="shared" si="30"/>
        <v>53.761435529659309</v>
      </c>
      <c r="E240" s="4">
        <f t="shared" si="35"/>
        <v>2280.6436466836062</v>
      </c>
      <c r="F240" s="1">
        <f t="shared" si="31"/>
        <v>16151.848534913868</v>
      </c>
      <c r="G240" s="1">
        <f t="shared" si="32"/>
        <v>2.3040615226996843</v>
      </c>
      <c r="H240" s="4">
        <f t="shared" si="33"/>
        <v>2336.709143735965</v>
      </c>
    </row>
    <row r="241" spans="1:8" x14ac:dyDescent="0.25">
      <c r="A241">
        <f t="shared" si="36"/>
        <v>234</v>
      </c>
      <c r="B241" s="1">
        <f t="shared" si="34"/>
        <v>16151.848534913868</v>
      </c>
      <c r="C241" s="4">
        <f t="shared" si="29"/>
        <v>2334.4050822132654</v>
      </c>
      <c r="D241" s="1">
        <f t="shared" si="30"/>
        <v>47.109558226832121</v>
      </c>
      <c r="E241" s="4">
        <f t="shared" si="35"/>
        <v>2287.2955239864332</v>
      </c>
      <c r="F241" s="1">
        <f t="shared" si="31"/>
        <v>13864.553010927435</v>
      </c>
      <c r="G241" s="1">
        <f t="shared" si="32"/>
        <v>2.0189810668642338</v>
      </c>
      <c r="H241" s="4">
        <f t="shared" si="33"/>
        <v>2336.4240632801298</v>
      </c>
    </row>
    <row r="242" spans="1:8" x14ac:dyDescent="0.25">
      <c r="A242">
        <f t="shared" si="36"/>
        <v>235</v>
      </c>
      <c r="B242" s="1">
        <f t="shared" si="34"/>
        <v>13864.553010927435</v>
      </c>
      <c r="C242" s="4">
        <f t="shared" si="29"/>
        <v>2334.4050822132654</v>
      </c>
      <c r="D242" s="1">
        <f t="shared" si="30"/>
        <v>40.438279615205026</v>
      </c>
      <c r="E242" s="4">
        <f t="shared" si="35"/>
        <v>2293.9668025980604</v>
      </c>
      <c r="F242" s="1">
        <f t="shared" si="31"/>
        <v>11570.586208329374</v>
      </c>
      <c r="G242" s="1">
        <f t="shared" si="32"/>
        <v>1.7330691263659295</v>
      </c>
      <c r="H242" s="4">
        <f t="shared" si="33"/>
        <v>2336.1381513396313</v>
      </c>
    </row>
    <row r="243" spans="1:8" x14ac:dyDescent="0.25">
      <c r="A243">
        <f t="shared" si="36"/>
        <v>236</v>
      </c>
      <c r="B243" s="1">
        <f t="shared" si="34"/>
        <v>11570.586208329374</v>
      </c>
      <c r="C243" s="4">
        <f t="shared" si="29"/>
        <v>2334.4050822132654</v>
      </c>
      <c r="D243" s="1">
        <f t="shared" si="30"/>
        <v>33.747543107627344</v>
      </c>
      <c r="E243" s="4">
        <f t="shared" si="35"/>
        <v>2300.6575391056381</v>
      </c>
      <c r="F243" s="1">
        <f t="shared" si="31"/>
        <v>9269.9286692237365</v>
      </c>
      <c r="G243" s="1">
        <f t="shared" si="32"/>
        <v>1.4463232760411717</v>
      </c>
      <c r="H243" s="4">
        <f t="shared" si="33"/>
        <v>2335.8514054893067</v>
      </c>
    </row>
    <row r="244" spans="1:8" x14ac:dyDescent="0.25">
      <c r="A244">
        <f t="shared" si="36"/>
        <v>237</v>
      </c>
      <c r="B244" s="1">
        <f t="shared" si="34"/>
        <v>9269.9286692237365</v>
      </c>
      <c r="C244" s="4">
        <f t="shared" si="29"/>
        <v>2334.4050822132654</v>
      </c>
      <c r="D244" s="1">
        <f t="shared" si="30"/>
        <v>27.037291951902571</v>
      </c>
      <c r="E244" s="4">
        <f t="shared" si="35"/>
        <v>2307.3677902613626</v>
      </c>
      <c r="F244" s="1">
        <f t="shared" si="31"/>
        <v>6962.5608789623739</v>
      </c>
      <c r="G244" s="1">
        <f t="shared" si="32"/>
        <v>1.158741083652967</v>
      </c>
      <c r="H244" s="4">
        <f t="shared" si="33"/>
        <v>2335.5638232969181</v>
      </c>
    </row>
    <row r="245" spans="1:8" x14ac:dyDescent="0.25">
      <c r="A245">
        <f t="shared" si="36"/>
        <v>238</v>
      </c>
      <c r="B245" s="1">
        <f t="shared" si="34"/>
        <v>6962.5608789623739</v>
      </c>
      <c r="C245" s="4">
        <f t="shared" si="29"/>
        <v>2334.4050822132654</v>
      </c>
      <c r="D245" s="1">
        <f t="shared" si="30"/>
        <v>20.307469230306925</v>
      </c>
      <c r="E245" s="4">
        <f t="shared" si="35"/>
        <v>2314.0976129829583</v>
      </c>
      <c r="F245" s="1">
        <f t="shared" si="31"/>
        <v>4648.4632659794152</v>
      </c>
      <c r="G245" s="1">
        <f t="shared" si="32"/>
        <v>0.87032010987029673</v>
      </c>
      <c r="H245" s="4">
        <f t="shared" si="33"/>
        <v>2335.2754023231355</v>
      </c>
    </row>
    <row r="246" spans="1:8" x14ac:dyDescent="0.25">
      <c r="A246">
        <f t="shared" si="36"/>
        <v>239</v>
      </c>
      <c r="B246" s="1">
        <f t="shared" si="34"/>
        <v>4648.4632659794152</v>
      </c>
      <c r="C246" s="4">
        <f t="shared" si="29"/>
        <v>2334.4050822132654</v>
      </c>
      <c r="D246" s="1">
        <f t="shared" si="30"/>
        <v>13.558017859106629</v>
      </c>
      <c r="E246" s="4">
        <f t="shared" si="35"/>
        <v>2320.8470643541586</v>
      </c>
      <c r="F246" s="1">
        <f t="shared" si="31"/>
        <v>2327.6162016252565</v>
      </c>
      <c r="G246" s="1">
        <f t="shared" si="32"/>
        <v>0.58105790824742687</v>
      </c>
      <c r="H246" s="4">
        <f t="shared" si="33"/>
        <v>2334.9861401215126</v>
      </c>
    </row>
    <row r="247" spans="1:8" x14ac:dyDescent="0.25">
      <c r="A247">
        <f t="shared" si="36"/>
        <v>240</v>
      </c>
      <c r="B247" s="1">
        <f t="shared" si="34"/>
        <v>2327.6162016252565</v>
      </c>
      <c r="C247" s="4">
        <f t="shared" si="29"/>
        <v>2334.4050822132654</v>
      </c>
      <c r="D247" s="1">
        <f t="shared" si="30"/>
        <v>6.788880588073666</v>
      </c>
      <c r="E247" s="4">
        <f t="shared" si="35"/>
        <v>2327.6162016251915</v>
      </c>
      <c r="F247" s="1">
        <f t="shared" si="31"/>
        <v>6.5028871176764369E-11</v>
      </c>
      <c r="G247" s="1">
        <f t="shared" si="32"/>
        <v>0.29095202520315705</v>
      </c>
      <c r="H247" s="4">
        <f t="shared" si="33"/>
        <v>2334.6960342384687</v>
      </c>
    </row>
    <row r="248" spans="1:8" x14ac:dyDescent="0.25">
      <c r="A248">
        <f t="shared" si="36"/>
        <v>241</v>
      </c>
      <c r="B248" s="1">
        <f t="shared" si="34"/>
        <v>6.5028871176764369E-11</v>
      </c>
      <c r="C248" s="4">
        <f t="shared" si="29"/>
        <v>0</v>
      </c>
      <c r="D248" s="1">
        <f t="shared" si="30"/>
        <v>1.8966754093222945E-13</v>
      </c>
      <c r="E248" s="4">
        <f t="shared" si="35"/>
        <v>0</v>
      </c>
      <c r="F248" s="1">
        <f t="shared" si="31"/>
        <v>6.5028871176764369E-11</v>
      </c>
      <c r="G248" s="1">
        <f t="shared" si="32"/>
        <v>0</v>
      </c>
      <c r="H248" s="4">
        <f t="shared" si="33"/>
        <v>0</v>
      </c>
    </row>
    <row r="249" spans="1:8" x14ac:dyDescent="0.25">
      <c r="A249">
        <f t="shared" si="36"/>
        <v>242</v>
      </c>
      <c r="B249" s="1">
        <f t="shared" si="34"/>
        <v>6.5028871176764369E-11</v>
      </c>
      <c r="C249" s="4">
        <f t="shared" si="29"/>
        <v>0</v>
      </c>
      <c r="D249" s="1">
        <f t="shared" si="30"/>
        <v>1.8966754093222945E-13</v>
      </c>
      <c r="E249" s="4">
        <f t="shared" si="35"/>
        <v>0</v>
      </c>
      <c r="F249" s="1">
        <f t="shared" si="31"/>
        <v>6.5028871176764369E-11</v>
      </c>
      <c r="G249" s="1">
        <f t="shared" si="32"/>
        <v>0</v>
      </c>
      <c r="H249" s="4">
        <f t="shared" si="33"/>
        <v>0</v>
      </c>
    </row>
    <row r="250" spans="1:8" x14ac:dyDescent="0.25">
      <c r="A250">
        <f>A249+1</f>
        <v>243</v>
      </c>
      <c r="B250" s="1">
        <f t="shared" si="34"/>
        <v>6.5028871176764369E-11</v>
      </c>
      <c r="C250" s="4">
        <f t="shared" si="29"/>
        <v>0</v>
      </c>
      <c r="D250" s="1">
        <f t="shared" si="30"/>
        <v>1.8966754093222945E-13</v>
      </c>
      <c r="E250" s="4">
        <f t="shared" si="35"/>
        <v>0</v>
      </c>
      <c r="F250" s="1">
        <f t="shared" si="31"/>
        <v>6.5028871176764369E-11</v>
      </c>
      <c r="G250" s="1">
        <f t="shared" si="32"/>
        <v>0</v>
      </c>
      <c r="H250" s="4">
        <f t="shared" si="33"/>
        <v>0</v>
      </c>
    </row>
    <row r="251" spans="1:8" x14ac:dyDescent="0.25">
      <c r="A251">
        <f t="shared" ref="A251:A285" si="37">A250+1</f>
        <v>244</v>
      </c>
      <c r="B251" s="1">
        <f t="shared" si="34"/>
        <v>6.5028871176764369E-11</v>
      </c>
      <c r="C251" s="4">
        <f t="shared" si="29"/>
        <v>0</v>
      </c>
      <c r="D251" s="1">
        <f t="shared" si="30"/>
        <v>1.8966754093222945E-13</v>
      </c>
      <c r="E251" s="4">
        <f t="shared" si="35"/>
        <v>0</v>
      </c>
      <c r="F251" s="1">
        <f t="shared" si="31"/>
        <v>6.5028871176764369E-11</v>
      </c>
      <c r="G251" s="1">
        <f t="shared" si="32"/>
        <v>0</v>
      </c>
      <c r="H251" s="4">
        <f t="shared" si="33"/>
        <v>0</v>
      </c>
    </row>
    <row r="252" spans="1:8" x14ac:dyDescent="0.25">
      <c r="A252">
        <f t="shared" si="37"/>
        <v>245</v>
      </c>
      <c r="B252" s="1">
        <f t="shared" si="34"/>
        <v>6.5028871176764369E-11</v>
      </c>
      <c r="C252" s="4">
        <f t="shared" si="29"/>
        <v>0</v>
      </c>
      <c r="D252" s="1">
        <f t="shared" si="30"/>
        <v>1.8966754093222945E-13</v>
      </c>
      <c r="E252" s="4">
        <f t="shared" si="35"/>
        <v>0</v>
      </c>
      <c r="F252" s="1">
        <f t="shared" si="31"/>
        <v>6.5028871176764369E-11</v>
      </c>
      <c r="G252" s="1">
        <f t="shared" si="32"/>
        <v>0</v>
      </c>
      <c r="H252" s="4">
        <f t="shared" si="33"/>
        <v>0</v>
      </c>
    </row>
    <row r="253" spans="1:8" x14ac:dyDescent="0.25">
      <c r="A253">
        <f t="shared" si="37"/>
        <v>246</v>
      </c>
      <c r="B253" s="1">
        <f t="shared" si="34"/>
        <v>6.5028871176764369E-11</v>
      </c>
      <c r="C253" s="4">
        <f t="shared" si="29"/>
        <v>0</v>
      </c>
      <c r="D253" s="1">
        <f t="shared" si="30"/>
        <v>1.8966754093222945E-13</v>
      </c>
      <c r="E253" s="4">
        <f t="shared" si="35"/>
        <v>0</v>
      </c>
      <c r="F253" s="1">
        <f t="shared" si="31"/>
        <v>6.5028871176764369E-11</v>
      </c>
      <c r="G253" s="1">
        <f t="shared" si="32"/>
        <v>0</v>
      </c>
      <c r="H253" s="4">
        <f t="shared" si="33"/>
        <v>0</v>
      </c>
    </row>
    <row r="254" spans="1:8" x14ac:dyDescent="0.25">
      <c r="A254">
        <f t="shared" si="37"/>
        <v>247</v>
      </c>
      <c r="B254" s="1">
        <f t="shared" si="34"/>
        <v>6.5028871176764369E-11</v>
      </c>
      <c r="C254" s="4">
        <f t="shared" si="29"/>
        <v>0</v>
      </c>
      <c r="D254" s="1">
        <f t="shared" si="30"/>
        <v>1.8966754093222945E-13</v>
      </c>
      <c r="E254" s="4">
        <f t="shared" si="35"/>
        <v>0</v>
      </c>
      <c r="F254" s="1">
        <f t="shared" si="31"/>
        <v>6.5028871176764369E-11</v>
      </c>
      <c r="G254" s="1">
        <f t="shared" si="32"/>
        <v>0</v>
      </c>
      <c r="H254" s="4">
        <f t="shared" si="33"/>
        <v>0</v>
      </c>
    </row>
    <row r="255" spans="1:8" x14ac:dyDescent="0.25">
      <c r="A255">
        <f t="shared" si="37"/>
        <v>248</v>
      </c>
      <c r="B255" s="1">
        <f t="shared" si="34"/>
        <v>6.5028871176764369E-11</v>
      </c>
      <c r="C255" s="4">
        <f t="shared" si="29"/>
        <v>0</v>
      </c>
      <c r="D255" s="1">
        <f t="shared" si="30"/>
        <v>1.8966754093222945E-13</v>
      </c>
      <c r="E255" s="4">
        <f t="shared" si="35"/>
        <v>0</v>
      </c>
      <c r="F255" s="1">
        <f t="shared" si="31"/>
        <v>6.5028871176764369E-11</v>
      </c>
      <c r="G255" s="1">
        <f t="shared" si="32"/>
        <v>0</v>
      </c>
      <c r="H255" s="4">
        <f t="shared" si="33"/>
        <v>0</v>
      </c>
    </row>
    <row r="256" spans="1:8" x14ac:dyDescent="0.25">
      <c r="A256">
        <f t="shared" si="37"/>
        <v>249</v>
      </c>
      <c r="B256" s="1">
        <f t="shared" si="34"/>
        <v>6.5028871176764369E-11</v>
      </c>
      <c r="C256" s="4">
        <f t="shared" si="29"/>
        <v>0</v>
      </c>
      <c r="D256" s="1">
        <f t="shared" si="30"/>
        <v>1.8966754093222945E-13</v>
      </c>
      <c r="E256" s="4">
        <f t="shared" si="35"/>
        <v>0</v>
      </c>
      <c r="F256" s="1">
        <f t="shared" si="31"/>
        <v>6.5028871176764369E-11</v>
      </c>
      <c r="G256" s="1">
        <f t="shared" si="32"/>
        <v>0</v>
      </c>
      <c r="H256" s="4">
        <f t="shared" si="33"/>
        <v>0</v>
      </c>
    </row>
    <row r="257" spans="1:8" x14ac:dyDescent="0.25">
      <c r="A257">
        <f t="shared" si="37"/>
        <v>250</v>
      </c>
      <c r="B257" s="1">
        <f t="shared" si="34"/>
        <v>6.5028871176764369E-11</v>
      </c>
      <c r="C257" s="4">
        <f t="shared" si="29"/>
        <v>0</v>
      </c>
      <c r="D257" s="1">
        <f t="shared" si="30"/>
        <v>1.8966754093222945E-13</v>
      </c>
      <c r="E257" s="4">
        <f t="shared" si="35"/>
        <v>0</v>
      </c>
      <c r="F257" s="1">
        <f t="shared" si="31"/>
        <v>6.5028871176764369E-11</v>
      </c>
      <c r="G257" s="1">
        <f t="shared" si="32"/>
        <v>0</v>
      </c>
      <c r="H257" s="4">
        <f t="shared" si="33"/>
        <v>0</v>
      </c>
    </row>
    <row r="258" spans="1:8" x14ac:dyDescent="0.25">
      <c r="A258">
        <f t="shared" si="37"/>
        <v>251</v>
      </c>
      <c r="B258" s="1">
        <f t="shared" si="34"/>
        <v>6.5028871176764369E-11</v>
      </c>
      <c r="C258" s="4">
        <f t="shared" si="29"/>
        <v>0</v>
      </c>
      <c r="D258" s="1">
        <f t="shared" si="30"/>
        <v>1.8966754093222945E-13</v>
      </c>
      <c r="E258" s="4">
        <f t="shared" si="35"/>
        <v>0</v>
      </c>
      <c r="F258" s="1">
        <f t="shared" si="31"/>
        <v>6.5028871176764369E-11</v>
      </c>
      <c r="G258" s="1">
        <f t="shared" si="32"/>
        <v>0</v>
      </c>
      <c r="H258" s="4">
        <f t="shared" si="33"/>
        <v>0</v>
      </c>
    </row>
    <row r="259" spans="1:8" x14ac:dyDescent="0.25">
      <c r="A259">
        <f t="shared" si="37"/>
        <v>252</v>
      </c>
      <c r="B259" s="1">
        <f t="shared" si="34"/>
        <v>6.5028871176764369E-11</v>
      </c>
      <c r="C259" s="4">
        <f t="shared" si="29"/>
        <v>0</v>
      </c>
      <c r="D259" s="1">
        <f t="shared" si="30"/>
        <v>1.8966754093222945E-13</v>
      </c>
      <c r="E259" s="4">
        <f t="shared" si="35"/>
        <v>0</v>
      </c>
      <c r="F259" s="1">
        <f t="shared" si="31"/>
        <v>6.5028871176764369E-11</v>
      </c>
      <c r="G259" s="1">
        <f t="shared" si="32"/>
        <v>0</v>
      </c>
      <c r="H259" s="4">
        <f t="shared" si="33"/>
        <v>0</v>
      </c>
    </row>
    <row r="260" spans="1:8" x14ac:dyDescent="0.25">
      <c r="A260">
        <f t="shared" si="37"/>
        <v>253</v>
      </c>
      <c r="B260" s="1">
        <f t="shared" si="34"/>
        <v>6.5028871176764369E-11</v>
      </c>
      <c r="C260" s="4">
        <f t="shared" si="29"/>
        <v>0</v>
      </c>
      <c r="D260" s="1">
        <f t="shared" si="30"/>
        <v>1.8966754093222945E-13</v>
      </c>
      <c r="E260" s="4">
        <f t="shared" si="35"/>
        <v>0</v>
      </c>
      <c r="F260" s="1">
        <f t="shared" si="31"/>
        <v>6.5028871176764369E-11</v>
      </c>
      <c r="G260" s="1">
        <f t="shared" si="32"/>
        <v>0</v>
      </c>
      <c r="H260" s="4">
        <f t="shared" si="33"/>
        <v>0</v>
      </c>
    </row>
    <row r="261" spans="1:8" x14ac:dyDescent="0.25">
      <c r="A261">
        <f t="shared" si="37"/>
        <v>254</v>
      </c>
      <c r="B261" s="1">
        <f t="shared" si="34"/>
        <v>6.5028871176764369E-11</v>
      </c>
      <c r="C261" s="4">
        <f t="shared" si="29"/>
        <v>0</v>
      </c>
      <c r="D261" s="1">
        <f t="shared" si="30"/>
        <v>1.8966754093222945E-13</v>
      </c>
      <c r="E261" s="4">
        <f t="shared" si="35"/>
        <v>0</v>
      </c>
      <c r="F261" s="1">
        <f t="shared" si="31"/>
        <v>6.5028871176764369E-11</v>
      </c>
      <c r="G261" s="1">
        <f t="shared" si="32"/>
        <v>0</v>
      </c>
      <c r="H261" s="4">
        <f t="shared" si="33"/>
        <v>0</v>
      </c>
    </row>
    <row r="262" spans="1:8" x14ac:dyDescent="0.25">
      <c r="A262">
        <f t="shared" si="37"/>
        <v>255</v>
      </c>
      <c r="B262" s="1">
        <f t="shared" si="34"/>
        <v>6.5028871176764369E-11</v>
      </c>
      <c r="C262" s="4">
        <f t="shared" si="29"/>
        <v>0</v>
      </c>
      <c r="D262" s="1">
        <f t="shared" si="30"/>
        <v>1.8966754093222945E-13</v>
      </c>
      <c r="E262" s="4">
        <f t="shared" si="35"/>
        <v>0</v>
      </c>
      <c r="F262" s="1">
        <f t="shared" si="31"/>
        <v>6.5028871176764369E-11</v>
      </c>
      <c r="G262" s="1">
        <f t="shared" si="32"/>
        <v>0</v>
      </c>
      <c r="H262" s="4">
        <f t="shared" si="33"/>
        <v>0</v>
      </c>
    </row>
    <row r="263" spans="1:8" x14ac:dyDescent="0.25">
      <c r="A263">
        <f t="shared" si="37"/>
        <v>256</v>
      </c>
      <c r="B263" s="1">
        <f t="shared" si="34"/>
        <v>6.5028871176764369E-11</v>
      </c>
      <c r="C263" s="4">
        <f t="shared" si="29"/>
        <v>0</v>
      </c>
      <c r="D263" s="1">
        <f t="shared" si="30"/>
        <v>1.8966754093222945E-13</v>
      </c>
      <c r="E263" s="4">
        <f t="shared" si="35"/>
        <v>0</v>
      </c>
      <c r="F263" s="1">
        <f t="shared" si="31"/>
        <v>6.5028871176764369E-11</v>
      </c>
      <c r="G263" s="1">
        <f t="shared" si="32"/>
        <v>0</v>
      </c>
      <c r="H263" s="4">
        <f t="shared" si="33"/>
        <v>0</v>
      </c>
    </row>
    <row r="264" spans="1:8" x14ac:dyDescent="0.25">
      <c r="A264">
        <f t="shared" si="37"/>
        <v>257</v>
      </c>
      <c r="B264" s="1">
        <f t="shared" si="34"/>
        <v>6.5028871176764369E-11</v>
      </c>
      <c r="C264" s="4">
        <f t="shared" si="29"/>
        <v>0</v>
      </c>
      <c r="D264" s="1">
        <f t="shared" si="30"/>
        <v>1.8966754093222945E-13</v>
      </c>
      <c r="E264" s="4">
        <f t="shared" si="35"/>
        <v>0</v>
      </c>
      <c r="F264" s="1">
        <f t="shared" si="31"/>
        <v>6.5028871176764369E-11</v>
      </c>
      <c r="G264" s="1">
        <f t="shared" si="32"/>
        <v>0</v>
      </c>
      <c r="H264" s="4">
        <f t="shared" si="33"/>
        <v>0</v>
      </c>
    </row>
    <row r="265" spans="1:8" x14ac:dyDescent="0.25">
      <c r="A265">
        <f t="shared" si="37"/>
        <v>258</v>
      </c>
      <c r="B265" s="1">
        <f t="shared" si="34"/>
        <v>6.5028871176764369E-11</v>
      </c>
      <c r="C265" s="4">
        <f t="shared" ref="C265:C307" si="38">IF(A265&lt;=$C$3*12,$C$5,0)</f>
        <v>0</v>
      </c>
      <c r="D265" s="1">
        <f t="shared" ref="D265:D307" si="39">B265*$C$2/12</f>
        <v>1.8966754093222945E-13</v>
      </c>
      <c r="E265" s="4">
        <f t="shared" si="35"/>
        <v>0</v>
      </c>
      <c r="F265" s="1">
        <f t="shared" ref="F265:F307" si="40">MAX(B265-E265,0)</f>
        <v>6.5028871176764369E-11</v>
      </c>
      <c r="G265" s="1">
        <f t="shared" ref="G265:G307" si="41">IF(A265&lt;=$C$3*12,B265*$C$4/12,0)</f>
        <v>0</v>
      </c>
      <c r="H265" s="4">
        <f t="shared" ref="H265:H307" si="42">C265+G265</f>
        <v>0</v>
      </c>
    </row>
    <row r="266" spans="1:8" x14ac:dyDescent="0.25">
      <c r="A266">
        <f t="shared" si="37"/>
        <v>259</v>
      </c>
      <c r="B266" s="1">
        <f t="shared" ref="B266:B307" si="43">F265</f>
        <v>6.5028871176764369E-11</v>
      </c>
      <c r="C266" s="4">
        <f t="shared" si="38"/>
        <v>0</v>
      </c>
      <c r="D266" s="1">
        <f t="shared" si="39"/>
        <v>1.8966754093222945E-13</v>
      </c>
      <c r="E266" s="4">
        <f t="shared" ref="E266:E307" si="44">IF(C266-D266&lt;0,0,C266-D266)</f>
        <v>0</v>
      </c>
      <c r="F266" s="1">
        <f t="shared" si="40"/>
        <v>6.5028871176764369E-11</v>
      </c>
      <c r="G266" s="1">
        <f t="shared" si="41"/>
        <v>0</v>
      </c>
      <c r="H266" s="4">
        <f t="shared" si="42"/>
        <v>0</v>
      </c>
    </row>
    <row r="267" spans="1:8" x14ac:dyDescent="0.25">
      <c r="A267">
        <f t="shared" si="37"/>
        <v>260</v>
      </c>
      <c r="B267" s="1">
        <f t="shared" si="43"/>
        <v>6.5028871176764369E-11</v>
      </c>
      <c r="C267" s="4">
        <f t="shared" si="38"/>
        <v>0</v>
      </c>
      <c r="D267" s="1">
        <f t="shared" si="39"/>
        <v>1.8966754093222945E-13</v>
      </c>
      <c r="E267" s="4">
        <f t="shared" si="44"/>
        <v>0</v>
      </c>
      <c r="F267" s="1">
        <f t="shared" si="40"/>
        <v>6.5028871176764369E-11</v>
      </c>
      <c r="G267" s="1">
        <f t="shared" si="41"/>
        <v>0</v>
      </c>
      <c r="H267" s="4">
        <f t="shared" si="42"/>
        <v>0</v>
      </c>
    </row>
    <row r="268" spans="1:8" x14ac:dyDescent="0.25">
      <c r="A268">
        <f t="shared" si="37"/>
        <v>261</v>
      </c>
      <c r="B268" s="1">
        <f t="shared" si="43"/>
        <v>6.5028871176764369E-11</v>
      </c>
      <c r="C268" s="4">
        <f t="shared" si="38"/>
        <v>0</v>
      </c>
      <c r="D268" s="1">
        <f t="shared" si="39"/>
        <v>1.8966754093222945E-13</v>
      </c>
      <c r="E268" s="4">
        <f t="shared" si="44"/>
        <v>0</v>
      </c>
      <c r="F268" s="1">
        <f t="shared" si="40"/>
        <v>6.5028871176764369E-11</v>
      </c>
      <c r="G268" s="1">
        <f t="shared" si="41"/>
        <v>0</v>
      </c>
      <c r="H268" s="4">
        <f t="shared" si="42"/>
        <v>0</v>
      </c>
    </row>
    <row r="269" spans="1:8" x14ac:dyDescent="0.25">
      <c r="A269">
        <f t="shared" si="37"/>
        <v>262</v>
      </c>
      <c r="B269" s="1">
        <f t="shared" si="43"/>
        <v>6.5028871176764369E-11</v>
      </c>
      <c r="C269" s="4">
        <f t="shared" si="38"/>
        <v>0</v>
      </c>
      <c r="D269" s="1">
        <f t="shared" si="39"/>
        <v>1.8966754093222945E-13</v>
      </c>
      <c r="E269" s="4">
        <f t="shared" si="44"/>
        <v>0</v>
      </c>
      <c r="F269" s="1">
        <f t="shared" si="40"/>
        <v>6.5028871176764369E-11</v>
      </c>
      <c r="G269" s="1">
        <f t="shared" si="41"/>
        <v>0</v>
      </c>
      <c r="H269" s="4">
        <f t="shared" si="42"/>
        <v>0</v>
      </c>
    </row>
    <row r="270" spans="1:8" x14ac:dyDescent="0.25">
      <c r="A270">
        <f t="shared" si="37"/>
        <v>263</v>
      </c>
      <c r="B270" s="1">
        <f t="shared" si="43"/>
        <v>6.5028871176764369E-11</v>
      </c>
      <c r="C270" s="4">
        <f t="shared" si="38"/>
        <v>0</v>
      </c>
      <c r="D270" s="1">
        <f t="shared" si="39"/>
        <v>1.8966754093222945E-13</v>
      </c>
      <c r="E270" s="4">
        <f t="shared" si="44"/>
        <v>0</v>
      </c>
      <c r="F270" s="1">
        <f t="shared" si="40"/>
        <v>6.5028871176764369E-11</v>
      </c>
      <c r="G270" s="1">
        <f t="shared" si="41"/>
        <v>0</v>
      </c>
      <c r="H270" s="4">
        <f t="shared" si="42"/>
        <v>0</v>
      </c>
    </row>
    <row r="271" spans="1:8" x14ac:dyDescent="0.25">
      <c r="A271">
        <f t="shared" si="37"/>
        <v>264</v>
      </c>
      <c r="B271" s="1">
        <f t="shared" si="43"/>
        <v>6.5028871176764369E-11</v>
      </c>
      <c r="C271" s="4">
        <f t="shared" si="38"/>
        <v>0</v>
      </c>
      <c r="D271" s="1">
        <f t="shared" si="39"/>
        <v>1.8966754093222945E-13</v>
      </c>
      <c r="E271" s="4">
        <f t="shared" si="44"/>
        <v>0</v>
      </c>
      <c r="F271" s="1">
        <f t="shared" si="40"/>
        <v>6.5028871176764369E-11</v>
      </c>
      <c r="G271" s="1">
        <f t="shared" si="41"/>
        <v>0</v>
      </c>
      <c r="H271" s="4">
        <f t="shared" si="42"/>
        <v>0</v>
      </c>
    </row>
    <row r="272" spans="1:8" x14ac:dyDescent="0.25">
      <c r="A272">
        <f t="shared" si="37"/>
        <v>265</v>
      </c>
      <c r="B272" s="1">
        <f t="shared" si="43"/>
        <v>6.5028871176764369E-11</v>
      </c>
      <c r="C272" s="4">
        <f t="shared" si="38"/>
        <v>0</v>
      </c>
      <c r="D272" s="1">
        <f t="shared" si="39"/>
        <v>1.8966754093222945E-13</v>
      </c>
      <c r="E272" s="4">
        <f t="shared" si="44"/>
        <v>0</v>
      </c>
      <c r="F272" s="1">
        <f t="shared" si="40"/>
        <v>6.5028871176764369E-11</v>
      </c>
      <c r="G272" s="1">
        <f t="shared" si="41"/>
        <v>0</v>
      </c>
      <c r="H272" s="4">
        <f t="shared" si="42"/>
        <v>0</v>
      </c>
    </row>
    <row r="273" spans="1:8" x14ac:dyDescent="0.25">
      <c r="A273">
        <f t="shared" si="37"/>
        <v>266</v>
      </c>
      <c r="B273" s="1">
        <f t="shared" si="43"/>
        <v>6.5028871176764369E-11</v>
      </c>
      <c r="C273" s="4">
        <f t="shared" si="38"/>
        <v>0</v>
      </c>
      <c r="D273" s="1">
        <f t="shared" si="39"/>
        <v>1.8966754093222945E-13</v>
      </c>
      <c r="E273" s="4">
        <f t="shared" si="44"/>
        <v>0</v>
      </c>
      <c r="F273" s="1">
        <f t="shared" si="40"/>
        <v>6.5028871176764369E-11</v>
      </c>
      <c r="G273" s="1">
        <f t="shared" si="41"/>
        <v>0</v>
      </c>
      <c r="H273" s="4">
        <f t="shared" si="42"/>
        <v>0</v>
      </c>
    </row>
    <row r="274" spans="1:8" x14ac:dyDescent="0.25">
      <c r="A274">
        <f t="shared" si="37"/>
        <v>267</v>
      </c>
      <c r="B274" s="1">
        <f t="shared" si="43"/>
        <v>6.5028871176764369E-11</v>
      </c>
      <c r="C274" s="4">
        <f t="shared" si="38"/>
        <v>0</v>
      </c>
      <c r="D274" s="1">
        <f t="shared" si="39"/>
        <v>1.8966754093222945E-13</v>
      </c>
      <c r="E274" s="4">
        <f t="shared" si="44"/>
        <v>0</v>
      </c>
      <c r="F274" s="1">
        <f t="shared" si="40"/>
        <v>6.5028871176764369E-11</v>
      </c>
      <c r="G274" s="1">
        <f t="shared" si="41"/>
        <v>0</v>
      </c>
      <c r="H274" s="4">
        <f t="shared" si="42"/>
        <v>0</v>
      </c>
    </row>
    <row r="275" spans="1:8" x14ac:dyDescent="0.25">
      <c r="A275">
        <f t="shared" si="37"/>
        <v>268</v>
      </c>
      <c r="B275" s="1">
        <f t="shared" si="43"/>
        <v>6.5028871176764369E-11</v>
      </c>
      <c r="C275" s="4">
        <f t="shared" si="38"/>
        <v>0</v>
      </c>
      <c r="D275" s="1">
        <f t="shared" si="39"/>
        <v>1.8966754093222945E-13</v>
      </c>
      <c r="E275" s="4">
        <f t="shared" si="44"/>
        <v>0</v>
      </c>
      <c r="F275" s="1">
        <f t="shared" si="40"/>
        <v>6.5028871176764369E-11</v>
      </c>
      <c r="G275" s="1">
        <f t="shared" si="41"/>
        <v>0</v>
      </c>
      <c r="H275" s="4">
        <f t="shared" si="42"/>
        <v>0</v>
      </c>
    </row>
    <row r="276" spans="1:8" x14ac:dyDescent="0.25">
      <c r="A276">
        <f t="shared" si="37"/>
        <v>269</v>
      </c>
      <c r="B276" s="1">
        <f t="shared" si="43"/>
        <v>6.5028871176764369E-11</v>
      </c>
      <c r="C276" s="4">
        <f t="shared" si="38"/>
        <v>0</v>
      </c>
      <c r="D276" s="1">
        <f t="shared" si="39"/>
        <v>1.8966754093222945E-13</v>
      </c>
      <c r="E276" s="4">
        <f t="shared" si="44"/>
        <v>0</v>
      </c>
      <c r="F276" s="1">
        <f t="shared" si="40"/>
        <v>6.5028871176764369E-11</v>
      </c>
      <c r="G276" s="1">
        <f t="shared" si="41"/>
        <v>0</v>
      </c>
      <c r="H276" s="4">
        <f t="shared" si="42"/>
        <v>0</v>
      </c>
    </row>
    <row r="277" spans="1:8" x14ac:dyDescent="0.25">
      <c r="A277">
        <f t="shared" si="37"/>
        <v>270</v>
      </c>
      <c r="B277" s="1">
        <f t="shared" si="43"/>
        <v>6.5028871176764369E-11</v>
      </c>
      <c r="C277" s="4">
        <f t="shared" si="38"/>
        <v>0</v>
      </c>
      <c r="D277" s="1">
        <f t="shared" si="39"/>
        <v>1.8966754093222945E-13</v>
      </c>
      <c r="E277" s="4">
        <f t="shared" si="44"/>
        <v>0</v>
      </c>
      <c r="F277" s="1">
        <f t="shared" si="40"/>
        <v>6.5028871176764369E-11</v>
      </c>
      <c r="G277" s="1">
        <f t="shared" si="41"/>
        <v>0</v>
      </c>
      <c r="H277" s="4">
        <f t="shared" si="42"/>
        <v>0</v>
      </c>
    </row>
    <row r="278" spans="1:8" x14ac:dyDescent="0.25">
      <c r="A278">
        <f t="shared" si="37"/>
        <v>271</v>
      </c>
      <c r="B278" s="1">
        <f t="shared" si="43"/>
        <v>6.5028871176764369E-11</v>
      </c>
      <c r="C278" s="4">
        <f t="shared" si="38"/>
        <v>0</v>
      </c>
      <c r="D278" s="1">
        <f t="shared" si="39"/>
        <v>1.8966754093222945E-13</v>
      </c>
      <c r="E278" s="4">
        <f t="shared" si="44"/>
        <v>0</v>
      </c>
      <c r="F278" s="1">
        <f t="shared" si="40"/>
        <v>6.5028871176764369E-11</v>
      </c>
      <c r="G278" s="1">
        <f t="shared" si="41"/>
        <v>0</v>
      </c>
      <c r="H278" s="4">
        <f t="shared" si="42"/>
        <v>0</v>
      </c>
    </row>
    <row r="279" spans="1:8" x14ac:dyDescent="0.25">
      <c r="A279">
        <f t="shared" si="37"/>
        <v>272</v>
      </c>
      <c r="B279" s="1">
        <f t="shared" si="43"/>
        <v>6.5028871176764369E-11</v>
      </c>
      <c r="C279" s="4">
        <f t="shared" si="38"/>
        <v>0</v>
      </c>
      <c r="D279" s="1">
        <f t="shared" si="39"/>
        <v>1.8966754093222945E-13</v>
      </c>
      <c r="E279" s="4">
        <f t="shared" si="44"/>
        <v>0</v>
      </c>
      <c r="F279" s="1">
        <f t="shared" si="40"/>
        <v>6.5028871176764369E-11</v>
      </c>
      <c r="G279" s="1">
        <f t="shared" si="41"/>
        <v>0</v>
      </c>
      <c r="H279" s="4">
        <f t="shared" si="42"/>
        <v>0</v>
      </c>
    </row>
    <row r="280" spans="1:8" x14ac:dyDescent="0.25">
      <c r="A280">
        <f t="shared" si="37"/>
        <v>273</v>
      </c>
      <c r="B280" s="1">
        <f t="shared" si="43"/>
        <v>6.5028871176764369E-11</v>
      </c>
      <c r="C280" s="4">
        <f t="shared" si="38"/>
        <v>0</v>
      </c>
      <c r="D280" s="1">
        <f t="shared" si="39"/>
        <v>1.8966754093222945E-13</v>
      </c>
      <c r="E280" s="4">
        <f t="shared" si="44"/>
        <v>0</v>
      </c>
      <c r="F280" s="1">
        <f t="shared" si="40"/>
        <v>6.5028871176764369E-11</v>
      </c>
      <c r="G280" s="1">
        <f t="shared" si="41"/>
        <v>0</v>
      </c>
      <c r="H280" s="4">
        <f t="shared" si="42"/>
        <v>0</v>
      </c>
    </row>
    <row r="281" spans="1:8" x14ac:dyDescent="0.25">
      <c r="A281">
        <f t="shared" si="37"/>
        <v>274</v>
      </c>
      <c r="B281" s="1">
        <f t="shared" si="43"/>
        <v>6.5028871176764369E-11</v>
      </c>
      <c r="C281" s="4">
        <f t="shared" si="38"/>
        <v>0</v>
      </c>
      <c r="D281" s="1">
        <f t="shared" si="39"/>
        <v>1.8966754093222945E-13</v>
      </c>
      <c r="E281" s="4">
        <f t="shared" si="44"/>
        <v>0</v>
      </c>
      <c r="F281" s="1">
        <f t="shared" si="40"/>
        <v>6.5028871176764369E-11</v>
      </c>
      <c r="G281" s="1">
        <f t="shared" si="41"/>
        <v>0</v>
      </c>
      <c r="H281" s="4">
        <f t="shared" si="42"/>
        <v>0</v>
      </c>
    </row>
    <row r="282" spans="1:8" x14ac:dyDescent="0.25">
      <c r="A282">
        <f t="shared" si="37"/>
        <v>275</v>
      </c>
      <c r="B282" s="1">
        <f t="shared" si="43"/>
        <v>6.5028871176764369E-11</v>
      </c>
      <c r="C282" s="4">
        <f t="shared" si="38"/>
        <v>0</v>
      </c>
      <c r="D282" s="1">
        <f t="shared" si="39"/>
        <v>1.8966754093222945E-13</v>
      </c>
      <c r="E282" s="4">
        <f t="shared" si="44"/>
        <v>0</v>
      </c>
      <c r="F282" s="1">
        <f t="shared" si="40"/>
        <v>6.5028871176764369E-11</v>
      </c>
      <c r="G282" s="1">
        <f t="shared" si="41"/>
        <v>0</v>
      </c>
      <c r="H282" s="4">
        <f t="shared" si="42"/>
        <v>0</v>
      </c>
    </row>
    <row r="283" spans="1:8" x14ac:dyDescent="0.25">
      <c r="A283">
        <f t="shared" si="37"/>
        <v>276</v>
      </c>
      <c r="B283" s="1">
        <f t="shared" si="43"/>
        <v>6.5028871176764369E-11</v>
      </c>
      <c r="C283" s="4">
        <f t="shared" si="38"/>
        <v>0</v>
      </c>
      <c r="D283" s="1">
        <f t="shared" si="39"/>
        <v>1.8966754093222945E-13</v>
      </c>
      <c r="E283" s="4">
        <f t="shared" si="44"/>
        <v>0</v>
      </c>
      <c r="F283" s="1">
        <f t="shared" si="40"/>
        <v>6.5028871176764369E-11</v>
      </c>
      <c r="G283" s="1">
        <f t="shared" si="41"/>
        <v>0</v>
      </c>
      <c r="H283" s="4">
        <f t="shared" si="42"/>
        <v>0</v>
      </c>
    </row>
    <row r="284" spans="1:8" x14ac:dyDescent="0.25">
      <c r="A284">
        <f t="shared" si="37"/>
        <v>277</v>
      </c>
      <c r="B284" s="1">
        <f t="shared" si="43"/>
        <v>6.5028871176764369E-11</v>
      </c>
      <c r="C284" s="4">
        <f t="shared" si="38"/>
        <v>0</v>
      </c>
      <c r="D284" s="1">
        <f t="shared" si="39"/>
        <v>1.8966754093222945E-13</v>
      </c>
      <c r="E284" s="4">
        <f t="shared" si="44"/>
        <v>0</v>
      </c>
      <c r="F284" s="1">
        <f t="shared" si="40"/>
        <v>6.5028871176764369E-11</v>
      </c>
      <c r="G284" s="1">
        <f t="shared" si="41"/>
        <v>0</v>
      </c>
      <c r="H284" s="4">
        <f t="shared" si="42"/>
        <v>0</v>
      </c>
    </row>
    <row r="285" spans="1:8" x14ac:dyDescent="0.25">
      <c r="A285">
        <f t="shared" si="37"/>
        <v>278</v>
      </c>
      <c r="B285" s="1">
        <f t="shared" si="43"/>
        <v>6.5028871176764369E-11</v>
      </c>
      <c r="C285" s="4">
        <f t="shared" si="38"/>
        <v>0</v>
      </c>
      <c r="D285" s="1">
        <f t="shared" si="39"/>
        <v>1.8966754093222945E-13</v>
      </c>
      <c r="E285" s="4">
        <f t="shared" si="44"/>
        <v>0</v>
      </c>
      <c r="F285" s="1">
        <f t="shared" si="40"/>
        <v>6.5028871176764369E-11</v>
      </c>
      <c r="G285" s="1">
        <f t="shared" si="41"/>
        <v>0</v>
      </c>
      <c r="H285" s="4">
        <f t="shared" si="42"/>
        <v>0</v>
      </c>
    </row>
    <row r="286" spans="1:8" x14ac:dyDescent="0.25">
      <c r="A286">
        <f>A285+1</f>
        <v>279</v>
      </c>
      <c r="B286" s="1">
        <f t="shared" si="43"/>
        <v>6.5028871176764369E-11</v>
      </c>
      <c r="C286" s="4">
        <f t="shared" si="38"/>
        <v>0</v>
      </c>
      <c r="D286" s="1">
        <f t="shared" si="39"/>
        <v>1.8966754093222945E-13</v>
      </c>
      <c r="E286" s="4">
        <f t="shared" si="44"/>
        <v>0</v>
      </c>
      <c r="F286" s="1">
        <f t="shared" si="40"/>
        <v>6.5028871176764369E-11</v>
      </c>
      <c r="G286" s="1">
        <f t="shared" si="41"/>
        <v>0</v>
      </c>
      <c r="H286" s="4">
        <f t="shared" si="42"/>
        <v>0</v>
      </c>
    </row>
    <row r="287" spans="1:8" x14ac:dyDescent="0.25">
      <c r="A287">
        <f t="shared" ref="A287:A307" si="45">A286+1</f>
        <v>280</v>
      </c>
      <c r="B287" s="1">
        <f t="shared" si="43"/>
        <v>6.5028871176764369E-11</v>
      </c>
      <c r="C287" s="4">
        <f t="shared" si="38"/>
        <v>0</v>
      </c>
      <c r="D287" s="1">
        <f t="shared" si="39"/>
        <v>1.8966754093222945E-13</v>
      </c>
      <c r="E287" s="4">
        <f t="shared" si="44"/>
        <v>0</v>
      </c>
      <c r="F287" s="1">
        <f t="shared" si="40"/>
        <v>6.5028871176764369E-11</v>
      </c>
      <c r="G287" s="1">
        <f t="shared" si="41"/>
        <v>0</v>
      </c>
      <c r="H287" s="4">
        <f t="shared" si="42"/>
        <v>0</v>
      </c>
    </row>
    <row r="288" spans="1:8" x14ac:dyDescent="0.25">
      <c r="A288">
        <f t="shared" si="45"/>
        <v>281</v>
      </c>
      <c r="B288" s="1">
        <f t="shared" si="43"/>
        <v>6.5028871176764369E-11</v>
      </c>
      <c r="C288" s="4">
        <f t="shared" si="38"/>
        <v>0</v>
      </c>
      <c r="D288" s="1">
        <f t="shared" si="39"/>
        <v>1.8966754093222945E-13</v>
      </c>
      <c r="E288" s="4">
        <f t="shared" si="44"/>
        <v>0</v>
      </c>
      <c r="F288" s="1">
        <f t="shared" si="40"/>
        <v>6.5028871176764369E-11</v>
      </c>
      <c r="G288" s="1">
        <f t="shared" si="41"/>
        <v>0</v>
      </c>
      <c r="H288" s="4">
        <f t="shared" si="42"/>
        <v>0</v>
      </c>
    </row>
    <row r="289" spans="1:8" x14ac:dyDescent="0.25">
      <c r="A289">
        <f t="shared" si="45"/>
        <v>282</v>
      </c>
      <c r="B289" s="1">
        <f t="shared" si="43"/>
        <v>6.5028871176764369E-11</v>
      </c>
      <c r="C289" s="4">
        <f t="shared" si="38"/>
        <v>0</v>
      </c>
      <c r="D289" s="1">
        <f t="shared" si="39"/>
        <v>1.8966754093222945E-13</v>
      </c>
      <c r="E289" s="4">
        <f t="shared" si="44"/>
        <v>0</v>
      </c>
      <c r="F289" s="1">
        <f t="shared" si="40"/>
        <v>6.5028871176764369E-11</v>
      </c>
      <c r="G289" s="1">
        <f t="shared" si="41"/>
        <v>0</v>
      </c>
      <c r="H289" s="4">
        <f t="shared" si="42"/>
        <v>0</v>
      </c>
    </row>
    <row r="290" spans="1:8" x14ac:dyDescent="0.25">
      <c r="A290">
        <f t="shared" si="45"/>
        <v>283</v>
      </c>
      <c r="B290" s="1">
        <f t="shared" si="43"/>
        <v>6.5028871176764369E-11</v>
      </c>
      <c r="C290" s="4">
        <f t="shared" si="38"/>
        <v>0</v>
      </c>
      <c r="D290" s="1">
        <f t="shared" si="39"/>
        <v>1.8966754093222945E-13</v>
      </c>
      <c r="E290" s="4">
        <f t="shared" si="44"/>
        <v>0</v>
      </c>
      <c r="F290" s="1">
        <f t="shared" si="40"/>
        <v>6.5028871176764369E-11</v>
      </c>
      <c r="G290" s="1">
        <f t="shared" si="41"/>
        <v>0</v>
      </c>
      <c r="H290" s="4">
        <f t="shared" si="42"/>
        <v>0</v>
      </c>
    </row>
    <row r="291" spans="1:8" x14ac:dyDescent="0.25">
      <c r="A291">
        <f t="shared" si="45"/>
        <v>284</v>
      </c>
      <c r="B291" s="1">
        <f t="shared" si="43"/>
        <v>6.5028871176764369E-11</v>
      </c>
      <c r="C291" s="4">
        <f t="shared" si="38"/>
        <v>0</v>
      </c>
      <c r="D291" s="1">
        <f t="shared" si="39"/>
        <v>1.8966754093222945E-13</v>
      </c>
      <c r="E291" s="4">
        <f t="shared" si="44"/>
        <v>0</v>
      </c>
      <c r="F291" s="1">
        <f t="shared" si="40"/>
        <v>6.5028871176764369E-11</v>
      </c>
      <c r="G291" s="1">
        <f t="shared" si="41"/>
        <v>0</v>
      </c>
      <c r="H291" s="4">
        <f t="shared" si="42"/>
        <v>0</v>
      </c>
    </row>
    <row r="292" spans="1:8" x14ac:dyDescent="0.25">
      <c r="A292">
        <f t="shared" si="45"/>
        <v>285</v>
      </c>
      <c r="B292" s="1">
        <f t="shared" si="43"/>
        <v>6.5028871176764369E-11</v>
      </c>
      <c r="C292" s="4">
        <f t="shared" si="38"/>
        <v>0</v>
      </c>
      <c r="D292" s="1">
        <f t="shared" si="39"/>
        <v>1.8966754093222945E-13</v>
      </c>
      <c r="E292" s="4">
        <f t="shared" si="44"/>
        <v>0</v>
      </c>
      <c r="F292" s="1">
        <f t="shared" si="40"/>
        <v>6.5028871176764369E-11</v>
      </c>
      <c r="G292" s="1">
        <f t="shared" si="41"/>
        <v>0</v>
      </c>
      <c r="H292" s="4">
        <f t="shared" si="42"/>
        <v>0</v>
      </c>
    </row>
    <row r="293" spans="1:8" x14ac:dyDescent="0.25">
      <c r="A293">
        <f t="shared" si="45"/>
        <v>286</v>
      </c>
      <c r="B293" s="1">
        <f t="shared" si="43"/>
        <v>6.5028871176764369E-11</v>
      </c>
      <c r="C293" s="4">
        <f t="shared" si="38"/>
        <v>0</v>
      </c>
      <c r="D293" s="1">
        <f t="shared" si="39"/>
        <v>1.8966754093222945E-13</v>
      </c>
      <c r="E293" s="4">
        <f t="shared" si="44"/>
        <v>0</v>
      </c>
      <c r="F293" s="1">
        <f t="shared" si="40"/>
        <v>6.5028871176764369E-11</v>
      </c>
      <c r="G293" s="1">
        <f t="shared" si="41"/>
        <v>0</v>
      </c>
      <c r="H293" s="4">
        <f t="shared" si="42"/>
        <v>0</v>
      </c>
    </row>
    <row r="294" spans="1:8" x14ac:dyDescent="0.25">
      <c r="A294">
        <f t="shared" si="45"/>
        <v>287</v>
      </c>
      <c r="B294" s="1">
        <f t="shared" si="43"/>
        <v>6.5028871176764369E-11</v>
      </c>
      <c r="C294" s="4">
        <f t="shared" si="38"/>
        <v>0</v>
      </c>
      <c r="D294" s="1">
        <f t="shared" si="39"/>
        <v>1.8966754093222945E-13</v>
      </c>
      <c r="E294" s="4">
        <f t="shared" si="44"/>
        <v>0</v>
      </c>
      <c r="F294" s="1">
        <f t="shared" si="40"/>
        <v>6.5028871176764369E-11</v>
      </c>
      <c r="G294" s="1">
        <f t="shared" si="41"/>
        <v>0</v>
      </c>
      <c r="H294" s="4">
        <f t="shared" si="42"/>
        <v>0</v>
      </c>
    </row>
    <row r="295" spans="1:8" x14ac:dyDescent="0.25">
      <c r="A295">
        <f t="shared" si="45"/>
        <v>288</v>
      </c>
      <c r="B295" s="1">
        <f t="shared" si="43"/>
        <v>6.5028871176764369E-11</v>
      </c>
      <c r="C295" s="4">
        <f t="shared" si="38"/>
        <v>0</v>
      </c>
      <c r="D295" s="1">
        <f t="shared" si="39"/>
        <v>1.8966754093222945E-13</v>
      </c>
      <c r="E295" s="4">
        <f t="shared" si="44"/>
        <v>0</v>
      </c>
      <c r="F295" s="1">
        <f t="shared" si="40"/>
        <v>6.5028871176764369E-11</v>
      </c>
      <c r="G295" s="1">
        <f t="shared" si="41"/>
        <v>0</v>
      </c>
      <c r="H295" s="4">
        <f t="shared" si="42"/>
        <v>0</v>
      </c>
    </row>
    <row r="296" spans="1:8" x14ac:dyDescent="0.25">
      <c r="A296">
        <f t="shared" si="45"/>
        <v>289</v>
      </c>
      <c r="B296" s="1">
        <f t="shared" si="43"/>
        <v>6.5028871176764369E-11</v>
      </c>
      <c r="C296" s="4">
        <f t="shared" si="38"/>
        <v>0</v>
      </c>
      <c r="D296" s="1">
        <f t="shared" si="39"/>
        <v>1.8966754093222945E-13</v>
      </c>
      <c r="E296" s="4">
        <f t="shared" si="44"/>
        <v>0</v>
      </c>
      <c r="F296" s="1">
        <f t="shared" si="40"/>
        <v>6.5028871176764369E-11</v>
      </c>
      <c r="G296" s="1">
        <f t="shared" si="41"/>
        <v>0</v>
      </c>
      <c r="H296" s="4">
        <f t="shared" si="42"/>
        <v>0</v>
      </c>
    </row>
    <row r="297" spans="1:8" x14ac:dyDescent="0.25">
      <c r="A297">
        <f t="shared" si="45"/>
        <v>290</v>
      </c>
      <c r="B297" s="1">
        <f t="shared" si="43"/>
        <v>6.5028871176764369E-11</v>
      </c>
      <c r="C297" s="4">
        <f t="shared" si="38"/>
        <v>0</v>
      </c>
      <c r="D297" s="1">
        <f t="shared" si="39"/>
        <v>1.8966754093222945E-13</v>
      </c>
      <c r="E297" s="4">
        <f t="shared" si="44"/>
        <v>0</v>
      </c>
      <c r="F297" s="1">
        <f t="shared" si="40"/>
        <v>6.5028871176764369E-11</v>
      </c>
      <c r="G297" s="1">
        <f t="shared" si="41"/>
        <v>0</v>
      </c>
      <c r="H297" s="4">
        <f t="shared" si="42"/>
        <v>0</v>
      </c>
    </row>
    <row r="298" spans="1:8" x14ac:dyDescent="0.25">
      <c r="A298">
        <f t="shared" si="45"/>
        <v>291</v>
      </c>
      <c r="B298" s="1">
        <f t="shared" si="43"/>
        <v>6.5028871176764369E-11</v>
      </c>
      <c r="C298" s="4">
        <f t="shared" si="38"/>
        <v>0</v>
      </c>
      <c r="D298" s="1">
        <f t="shared" si="39"/>
        <v>1.8966754093222945E-13</v>
      </c>
      <c r="E298" s="4">
        <f t="shared" si="44"/>
        <v>0</v>
      </c>
      <c r="F298" s="1">
        <f t="shared" si="40"/>
        <v>6.5028871176764369E-11</v>
      </c>
      <c r="G298" s="1">
        <f t="shared" si="41"/>
        <v>0</v>
      </c>
      <c r="H298" s="4">
        <f t="shared" si="42"/>
        <v>0</v>
      </c>
    </row>
    <row r="299" spans="1:8" x14ac:dyDescent="0.25">
      <c r="A299">
        <f t="shared" si="45"/>
        <v>292</v>
      </c>
      <c r="B299" s="1">
        <f t="shared" si="43"/>
        <v>6.5028871176764369E-11</v>
      </c>
      <c r="C299" s="4">
        <f t="shared" si="38"/>
        <v>0</v>
      </c>
      <c r="D299" s="1">
        <f t="shared" si="39"/>
        <v>1.8966754093222945E-13</v>
      </c>
      <c r="E299" s="4">
        <f t="shared" si="44"/>
        <v>0</v>
      </c>
      <c r="F299" s="1">
        <f t="shared" si="40"/>
        <v>6.5028871176764369E-11</v>
      </c>
      <c r="G299" s="1">
        <f t="shared" si="41"/>
        <v>0</v>
      </c>
      <c r="H299" s="4">
        <f t="shared" si="42"/>
        <v>0</v>
      </c>
    </row>
    <row r="300" spans="1:8" x14ac:dyDescent="0.25">
      <c r="A300">
        <f t="shared" si="45"/>
        <v>293</v>
      </c>
      <c r="B300" s="1">
        <f t="shared" si="43"/>
        <v>6.5028871176764369E-11</v>
      </c>
      <c r="C300" s="4">
        <f t="shared" si="38"/>
        <v>0</v>
      </c>
      <c r="D300" s="1">
        <f t="shared" si="39"/>
        <v>1.8966754093222945E-13</v>
      </c>
      <c r="E300" s="4">
        <f t="shared" si="44"/>
        <v>0</v>
      </c>
      <c r="F300" s="1">
        <f t="shared" si="40"/>
        <v>6.5028871176764369E-11</v>
      </c>
      <c r="G300" s="1">
        <f t="shared" si="41"/>
        <v>0</v>
      </c>
      <c r="H300" s="4">
        <f t="shared" si="42"/>
        <v>0</v>
      </c>
    </row>
    <row r="301" spans="1:8" x14ac:dyDescent="0.25">
      <c r="A301">
        <f t="shared" si="45"/>
        <v>294</v>
      </c>
      <c r="B301" s="1">
        <f t="shared" si="43"/>
        <v>6.5028871176764369E-11</v>
      </c>
      <c r="C301" s="4">
        <f t="shared" si="38"/>
        <v>0</v>
      </c>
      <c r="D301" s="1">
        <f t="shared" si="39"/>
        <v>1.8966754093222945E-13</v>
      </c>
      <c r="E301" s="4">
        <f t="shared" si="44"/>
        <v>0</v>
      </c>
      <c r="F301" s="1">
        <f t="shared" si="40"/>
        <v>6.5028871176764369E-11</v>
      </c>
      <c r="G301" s="1">
        <f t="shared" si="41"/>
        <v>0</v>
      </c>
      <c r="H301" s="4">
        <f t="shared" si="42"/>
        <v>0</v>
      </c>
    </row>
    <row r="302" spans="1:8" x14ac:dyDescent="0.25">
      <c r="A302">
        <f t="shared" si="45"/>
        <v>295</v>
      </c>
      <c r="B302" s="1">
        <f t="shared" si="43"/>
        <v>6.5028871176764369E-11</v>
      </c>
      <c r="C302" s="4">
        <f t="shared" si="38"/>
        <v>0</v>
      </c>
      <c r="D302" s="1">
        <f t="shared" si="39"/>
        <v>1.8966754093222945E-13</v>
      </c>
      <c r="E302" s="4">
        <f t="shared" si="44"/>
        <v>0</v>
      </c>
      <c r="F302" s="1">
        <f t="shared" si="40"/>
        <v>6.5028871176764369E-11</v>
      </c>
      <c r="G302" s="1">
        <f t="shared" si="41"/>
        <v>0</v>
      </c>
      <c r="H302" s="4">
        <f t="shared" si="42"/>
        <v>0</v>
      </c>
    </row>
    <row r="303" spans="1:8" x14ac:dyDescent="0.25">
      <c r="A303">
        <f t="shared" si="45"/>
        <v>296</v>
      </c>
      <c r="B303" s="1">
        <f t="shared" si="43"/>
        <v>6.5028871176764369E-11</v>
      </c>
      <c r="C303" s="4">
        <f t="shared" si="38"/>
        <v>0</v>
      </c>
      <c r="D303" s="1">
        <f t="shared" si="39"/>
        <v>1.8966754093222945E-13</v>
      </c>
      <c r="E303" s="4">
        <f t="shared" si="44"/>
        <v>0</v>
      </c>
      <c r="F303" s="1">
        <f t="shared" si="40"/>
        <v>6.5028871176764369E-11</v>
      </c>
      <c r="G303" s="1">
        <f t="shared" si="41"/>
        <v>0</v>
      </c>
      <c r="H303" s="4">
        <f t="shared" si="42"/>
        <v>0</v>
      </c>
    </row>
    <row r="304" spans="1:8" x14ac:dyDescent="0.25">
      <c r="A304">
        <f t="shared" si="45"/>
        <v>297</v>
      </c>
      <c r="B304" s="1">
        <f t="shared" si="43"/>
        <v>6.5028871176764369E-11</v>
      </c>
      <c r="C304" s="4">
        <f t="shared" si="38"/>
        <v>0</v>
      </c>
      <c r="D304" s="1">
        <f t="shared" si="39"/>
        <v>1.8966754093222945E-13</v>
      </c>
      <c r="E304" s="4">
        <f t="shared" si="44"/>
        <v>0</v>
      </c>
      <c r="F304" s="1">
        <f t="shared" si="40"/>
        <v>6.5028871176764369E-11</v>
      </c>
      <c r="G304" s="1">
        <f t="shared" si="41"/>
        <v>0</v>
      </c>
      <c r="H304" s="4">
        <f t="shared" si="42"/>
        <v>0</v>
      </c>
    </row>
    <row r="305" spans="1:8" x14ac:dyDescent="0.25">
      <c r="A305">
        <f t="shared" si="45"/>
        <v>298</v>
      </c>
      <c r="B305" s="1">
        <f t="shared" si="43"/>
        <v>6.5028871176764369E-11</v>
      </c>
      <c r="C305" s="4">
        <f t="shared" si="38"/>
        <v>0</v>
      </c>
      <c r="D305" s="1">
        <f t="shared" si="39"/>
        <v>1.8966754093222945E-13</v>
      </c>
      <c r="E305" s="4">
        <f t="shared" si="44"/>
        <v>0</v>
      </c>
      <c r="F305" s="1">
        <f t="shared" si="40"/>
        <v>6.5028871176764369E-11</v>
      </c>
      <c r="G305" s="1">
        <f t="shared" si="41"/>
        <v>0</v>
      </c>
      <c r="H305" s="4">
        <f t="shared" si="42"/>
        <v>0</v>
      </c>
    </row>
    <row r="306" spans="1:8" x14ac:dyDescent="0.25">
      <c r="A306">
        <f t="shared" si="45"/>
        <v>299</v>
      </c>
      <c r="B306" s="1">
        <f t="shared" si="43"/>
        <v>6.5028871176764369E-11</v>
      </c>
      <c r="C306" s="4">
        <f t="shared" si="38"/>
        <v>0</v>
      </c>
      <c r="D306" s="1">
        <f t="shared" si="39"/>
        <v>1.8966754093222945E-13</v>
      </c>
      <c r="E306" s="4">
        <f t="shared" si="44"/>
        <v>0</v>
      </c>
      <c r="F306" s="1">
        <f t="shared" si="40"/>
        <v>6.5028871176764369E-11</v>
      </c>
      <c r="G306" s="1">
        <f t="shared" si="41"/>
        <v>0</v>
      </c>
      <c r="H306" s="4">
        <f t="shared" si="42"/>
        <v>0</v>
      </c>
    </row>
    <row r="307" spans="1:8" x14ac:dyDescent="0.25">
      <c r="A307">
        <f t="shared" si="45"/>
        <v>300</v>
      </c>
      <c r="B307" s="1">
        <f t="shared" si="43"/>
        <v>6.5028871176764369E-11</v>
      </c>
      <c r="C307" s="4">
        <f t="shared" si="38"/>
        <v>0</v>
      </c>
      <c r="D307" s="1">
        <f t="shared" si="39"/>
        <v>1.8966754093222945E-13</v>
      </c>
      <c r="E307" s="4">
        <f t="shared" si="44"/>
        <v>0</v>
      </c>
      <c r="F307" s="1">
        <f t="shared" si="40"/>
        <v>6.5028871176764369E-11</v>
      </c>
      <c r="G307" s="1">
        <f t="shared" si="41"/>
        <v>0</v>
      </c>
      <c r="H307" s="4">
        <f t="shared" si="4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9C2A-4558-4E9B-B387-E95385D65BEB}">
  <dimension ref="A8:F38"/>
  <sheetViews>
    <sheetView workbookViewId="0">
      <selection activeCell="C38" sqref="C38"/>
    </sheetView>
  </sheetViews>
  <sheetFormatPr baseColWidth="10" defaultRowHeight="15" x14ac:dyDescent="0.25"/>
  <cols>
    <col min="2" max="2" width="15.5703125" customWidth="1"/>
    <col min="3" max="3" width="25.140625" bestFit="1" customWidth="1"/>
    <col min="4" max="4" width="25.5703125" bestFit="1" customWidth="1"/>
    <col min="5" max="5" width="28" bestFit="1" customWidth="1"/>
    <col min="6" max="6" width="23" bestFit="1" customWidth="1"/>
    <col min="7" max="7" width="13.140625" customWidth="1"/>
  </cols>
  <sheetData>
    <row r="8" spans="1:6" x14ac:dyDescent="0.25"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25">
      <c r="A9" s="5">
        <v>1</v>
      </c>
      <c r="B9" s="6" cm="1">
        <f t="array" ref="B9">INDEX(Amortissement_prêt!$F$8:$F$307,A9*12)</f>
        <v>388361.06910771038</v>
      </c>
      <c r="C9" s="6">
        <f>SUMIFS(Amortissement_prêt!$D$8:$D$307,Amortissement_prêt!$A$8:$A$307,"&gt;"&amp;(A9-1)*12,Amortissement_prêt!$A$8:$A$307,"&lt;="&amp;A9*12)</f>
        <v>13862.340094269444</v>
      </c>
      <c r="D9" s="6">
        <f>SUMIFS(Amortissement_prêt!$E$8:$E$307,Amortissement_prêt!$A$8:$A$307,"&gt;"&amp;(A9-1)*12,Amortissement_prêt!$A$8:$A$307,"&lt;="&amp;A9*12)</f>
        <v>14150.520892289738</v>
      </c>
      <c r="E9" s="6">
        <f>SUMIFS(Amortissement_prêt!$G$8:$G$307,Amortissement_prêt!$A$8:$A$307,"&gt;"&amp;(A9-1)*12,Amortissement_prêt!$A$8:$A$307,"&lt;="&amp;A9*12)</f>
        <v>594.10028975440468</v>
      </c>
      <c r="F9" s="6">
        <f>C9+D9+E9</f>
        <v>28606.961276313588</v>
      </c>
    </row>
    <row r="10" spans="1:6" x14ac:dyDescent="0.25">
      <c r="A10" s="5">
        <v>2</v>
      </c>
      <c r="B10" s="6" cm="1">
        <f t="array" ref="B10">INDEX(Amortissement_prêt!$F$8:$F$307,A10*12)</f>
        <v>373707.25730468362</v>
      </c>
      <c r="C10" s="6">
        <f>SUMIFS(Amortissement_prêt!$D$8:$D$307,Amortissement_prêt!$A$8:$A$307,"&gt;"&amp;(A10-1)*12,Amortissement_prêt!$A$8:$A$307,"&lt;="&amp;A10*12)</f>
        <v>13359.049183532405</v>
      </c>
      <c r="D10" s="6">
        <f>SUMIFS(Amortissement_prêt!$E$8:$E$307,Amortissement_prêt!$A$8:$A$307,"&gt;"&amp;(A10-1)*12,Amortissement_prêt!$A$8:$A$307,"&lt;="&amp;A10*12)</f>
        <v>14653.811803026778</v>
      </c>
      <c r="E10" s="6">
        <f>SUMIFS(Amortissement_prêt!$G$8:$G$307,Amortissement_prêt!$A$8:$A$307,"&gt;"&amp;(A10-1)*12,Amortissement_prêt!$A$8:$A$307,"&lt;="&amp;A10*12)</f>
        <v>572.53067929424594</v>
      </c>
      <c r="F10" s="6">
        <f t="shared" ref="F10:F33" si="0">C10+D10+E10</f>
        <v>28585.391665853429</v>
      </c>
    </row>
    <row r="11" spans="1:6" x14ac:dyDescent="0.25">
      <c r="A11" s="5">
        <v>3</v>
      </c>
      <c r="B11" s="6" cm="1">
        <f t="array" ref="B11">INDEX(Amortissement_prêt!$F$8:$F$307,A11*12)</f>
        <v>358532.25406677951</v>
      </c>
      <c r="C11" s="6">
        <f>SUMIFS(Amortissement_prêt!$D$8:$D$307,Amortissement_prêt!$A$8:$A$307,"&gt;"&amp;(A11-1)*12,Amortissement_prêt!$A$8:$A$307,"&lt;="&amp;A11*12)</f>
        <v>12837.857748655046</v>
      </c>
      <c r="D11" s="6">
        <f>SUMIFS(Amortissement_prêt!$E$8:$E$307,Amortissement_prêt!$A$8:$A$307,"&gt;"&amp;(A11-1)*12,Amortissement_prêt!$A$8:$A$307,"&lt;="&amp;A11*12)</f>
        <v>15175.003237904135</v>
      </c>
      <c r="E11" s="6">
        <f>SUMIFS(Amortissement_prêt!$G$8:$G$307,Amortissement_prêt!$A$8:$A$307,"&gt;"&amp;(A11-1)*12,Amortissement_prêt!$A$8:$A$307,"&lt;="&amp;A11*12)</f>
        <v>550.19390351378763</v>
      </c>
      <c r="F11" s="6">
        <f t="shared" si="0"/>
        <v>28563.054890072966</v>
      </c>
    </row>
    <row r="12" spans="1:6" x14ac:dyDescent="0.25">
      <c r="A12" s="5">
        <v>4</v>
      </c>
      <c r="B12" s="6" cm="1">
        <f t="array" ref="B12">INDEX(Amortissement_prêt!$F$8:$F$307,A12*12)</f>
        <v>342817.52220275783</v>
      </c>
      <c r="C12" s="6">
        <f>SUMIFS(Amortissement_prêt!$D$8:$D$307,Amortissement_prêt!$A$8:$A$307,"&gt;"&amp;(A12-1)*12,Amortissement_prêt!$A$8:$A$307,"&lt;="&amp;A12*12)</f>
        <v>12298.129122537559</v>
      </c>
      <c r="D12" s="6">
        <f>SUMIFS(Amortissement_prêt!$E$8:$E$307,Amortissement_prêt!$A$8:$A$307,"&gt;"&amp;(A12-1)*12,Amortissement_prêt!$A$8:$A$307,"&lt;="&amp;A12*12)</f>
        <v>15714.731864021625</v>
      </c>
      <c r="E12" s="6">
        <f>SUMIFS(Amortissement_prêt!$G$8:$G$307,Amortissement_prêt!$A$8:$A$307,"&gt;"&amp;(A12-1)*12,Amortissement_prêt!$A$8:$A$307,"&lt;="&amp;A12*12)</f>
        <v>527.06267668018108</v>
      </c>
      <c r="F12" s="6">
        <f t="shared" si="0"/>
        <v>28539.923663239366</v>
      </c>
    </row>
    <row r="13" spans="1:6" x14ac:dyDescent="0.25">
      <c r="A13" s="5">
        <v>5</v>
      </c>
      <c r="B13" s="6" cm="1">
        <f t="array" ref="B13">INDEX(Amortissement_prêt!$F$8:$F$307,A13*12)</f>
        <v>326543.86520996998</v>
      </c>
      <c r="C13" s="6">
        <f>SUMIFS(Amortissement_prêt!$D$8:$D$307,Amortissement_prêt!$A$8:$A$307,"&gt;"&amp;(A13-1)*12,Amortissement_prêt!$A$8:$A$307,"&lt;="&amp;A13*12)</f>
        <v>11739.203993771358</v>
      </c>
      <c r="D13" s="6">
        <f>SUMIFS(Amortissement_prêt!$E$8:$E$307,Amortissement_prêt!$A$8:$A$307,"&gt;"&amp;(A13-1)*12,Amortissement_prêt!$A$8:$A$307,"&lt;="&amp;A13*12)</f>
        <v>16273.656992787824</v>
      </c>
      <c r="E13" s="6">
        <f>SUMIFS(Amortissement_prêt!$G$8:$G$307,Amortissement_prêt!$A$8:$A$307,"&gt;"&amp;(A13-1)*12,Amortissement_prêt!$A$8:$A$307,"&lt;="&amp;A13*12)</f>
        <v>503.10874259020108</v>
      </c>
      <c r="F13" s="6">
        <f t="shared" si="0"/>
        <v>28515.969729149383</v>
      </c>
    </row>
    <row r="14" spans="1:6" x14ac:dyDescent="0.25">
      <c r="A14" s="5">
        <v>6</v>
      </c>
      <c r="B14" s="6" cm="1">
        <f t="array" ref="B14">INDEX(Amortissement_prêt!$F$8:$F$307,A14*12)</f>
        <v>309691.40382466075</v>
      </c>
      <c r="C14" s="6">
        <f>SUMIFS(Amortissement_prêt!$D$8:$D$307,Amortissement_prêt!$A$8:$A$307,"&gt;"&amp;(A14-1)*12,Amortissement_prêt!$A$8:$A$307,"&lt;="&amp;A14*12)</f>
        <v>11160.39960125001</v>
      </c>
      <c r="D14" s="6">
        <f>SUMIFS(Amortissement_prêt!$E$8:$E$307,Amortissement_prêt!$A$8:$A$307,"&gt;"&amp;(A14-1)*12,Amortissement_prêt!$A$8:$A$307,"&lt;="&amp;A14*12)</f>
        <v>16852.461385309176</v>
      </c>
      <c r="E14" s="6">
        <f>SUMIFS(Amortissement_prêt!$G$8:$G$307,Amortissement_prêt!$A$8:$A$307,"&gt;"&amp;(A14-1)*12,Amortissement_prêt!$A$8:$A$307,"&lt;="&amp;A14*12)</f>
        <v>478.30284005357169</v>
      </c>
      <c r="F14" s="6">
        <f t="shared" si="0"/>
        <v>28491.163826612759</v>
      </c>
    </row>
    <row r="15" spans="1:6" x14ac:dyDescent="0.25">
      <c r="A15" s="5">
        <v>7</v>
      </c>
      <c r="B15" s="6" cm="1">
        <f t="array" ref="B15">INDEX(Amortissement_prêt!$F$8:$F$307,A15*12)</f>
        <v>292239.55173823657</v>
      </c>
      <c r="C15" s="6">
        <f>SUMIFS(Amortissement_prêt!$D$8:$D$307,Amortissement_prêt!$A$8:$A$307,"&gt;"&amp;(A15-1)*12,Amortissement_prêt!$A$8:$A$307,"&lt;="&amp;A15*12)</f>
        <v>10561.008900134933</v>
      </c>
      <c r="D15" s="6">
        <f>SUMIFS(Amortissement_prêt!$E$8:$E$307,Amortissement_prêt!$A$8:$A$307,"&gt;"&amp;(A15-1)*12,Amortissement_prêt!$A$8:$A$307,"&lt;="&amp;A15*12)</f>
        <v>17451.852086424253</v>
      </c>
      <c r="E15" s="6">
        <f>SUMIFS(Amortissement_prêt!$G$8:$G$307,Amortissement_prêt!$A$8:$A$307,"&gt;"&amp;(A15-1)*12,Amortissement_prêt!$A$8:$A$307,"&lt;="&amp;A15*12)</f>
        <v>452.61466714863991</v>
      </c>
      <c r="F15" s="6">
        <f t="shared" si="0"/>
        <v>28465.475653707825</v>
      </c>
    </row>
    <row r="16" spans="1:6" x14ac:dyDescent="0.25">
      <c r="A16" s="5">
        <v>8</v>
      </c>
      <c r="B16" s="6" cm="1">
        <f t="array" ref="B16">INDEX(Amortissement_prêt!$F$8:$F$307,A16*12)</f>
        <v>274166.99044983438</v>
      </c>
      <c r="C16" s="6">
        <f>SUMIFS(Amortissement_prêt!$D$8:$D$307,Amortissement_prêt!$A$8:$A$307,"&gt;"&amp;(A16-1)*12,Amortissement_prêt!$A$8:$A$307,"&lt;="&amp;A16*12)</f>
        <v>9940.299698157045</v>
      </c>
      <c r="D16" s="6">
        <f>SUMIFS(Amortissement_prêt!$E$8:$E$307,Amortissement_prêt!$A$8:$A$307,"&gt;"&amp;(A16-1)*12,Amortissement_prêt!$A$8:$A$307,"&lt;="&amp;A16*12)</f>
        <v>18072.561288402136</v>
      </c>
      <c r="E16" s="6">
        <f>SUMIFS(Amortissement_prêt!$G$8:$G$307,Amortissement_prêt!$A$8:$A$307,"&gt;"&amp;(A16-1)*12,Amortissement_prêt!$A$8:$A$307,"&lt;="&amp;A16*12)</f>
        <v>426.01284420673051</v>
      </c>
      <c r="F16" s="6">
        <f t="shared" si="0"/>
        <v>28438.873830765908</v>
      </c>
    </row>
    <row r="17" spans="1:6" x14ac:dyDescent="0.25">
      <c r="A17" s="5">
        <v>9</v>
      </c>
      <c r="B17" s="6" cm="1">
        <f t="array" ref="B17">INDEX(Amortissement_prêt!$F$8:$F$307,A17*12)</f>
        <v>255451.64322447442</v>
      </c>
      <c r="C17" s="6">
        <f>SUMIFS(Amortissement_prêt!$D$8:$D$307,Amortissement_prêt!$A$8:$A$307,"&gt;"&amp;(A17-1)*12,Amortissement_prêt!$A$8:$A$307,"&lt;="&amp;A17*12)</f>
        <v>9297.5137611992777</v>
      </c>
      <c r="D17" s="6">
        <f>SUMIFS(Amortissement_prêt!$E$8:$E$307,Amortissement_prêt!$A$8:$A$307,"&gt;"&amp;(A17-1)*12,Amortissement_prêt!$A$8:$A$307,"&lt;="&amp;A17*12)</f>
        <v>18715.34722535991</v>
      </c>
      <c r="E17" s="6">
        <f>SUMIFS(Amortissement_prêt!$G$8:$G$307,Amortissement_prêt!$A$8:$A$307,"&gt;"&amp;(A17-1)*12,Amortissement_prêt!$A$8:$A$307,"&lt;="&amp;A17*12)</f>
        <v>398.46487547996895</v>
      </c>
      <c r="F17" s="6">
        <f t="shared" si="0"/>
        <v>28411.325862039153</v>
      </c>
    </row>
    <row r="18" spans="1:6" x14ac:dyDescent="0.25">
      <c r="A18" s="5">
        <v>10</v>
      </c>
      <c r="B18" s="6" cm="1">
        <f t="array" ref="B18">INDEX(Amortissement_prêt!$F$8:$F$307,A18*12)</f>
        <v>236070.64812498266</v>
      </c>
      <c r="C18" s="6">
        <f>SUMIFS(Amortissement_prêt!$D$8:$D$307,Amortissement_prêt!$A$8:$A$307,"&gt;"&amp;(A18-1)*12,Amortissement_prêt!$A$8:$A$307,"&lt;="&amp;A18*12)</f>
        <v>8631.8658870673989</v>
      </c>
      <c r="D18" s="6">
        <f>SUMIFS(Amortissement_prêt!$E$8:$E$307,Amortissement_prêt!$A$8:$A$307,"&gt;"&amp;(A18-1)*12,Amortissement_prêt!$A$8:$A$307,"&lt;="&amp;A18*12)</f>
        <v>19380.995099491782</v>
      </c>
      <c r="E18" s="6">
        <f>SUMIFS(Amortissement_prêt!$G$8:$G$307,Amortissement_prêt!$A$8:$A$307,"&gt;"&amp;(A18-1)*12,Amortissement_prêt!$A$8:$A$307,"&lt;="&amp;A18*12)</f>
        <v>369.93710944574565</v>
      </c>
      <c r="F18" s="6">
        <f t="shared" si="0"/>
        <v>28382.798096004924</v>
      </c>
    </row>
    <row r="19" spans="1:6" x14ac:dyDescent="0.25">
      <c r="A19" s="5">
        <v>11</v>
      </c>
      <c r="B19" s="6" cm="1">
        <f t="array" ref="B19">INDEX(Amortissement_prêt!$F$8:$F$307,A19*12)</f>
        <v>216000.33008474117</v>
      </c>
      <c r="C19" s="6">
        <f>SUMIFS(Amortissement_prêt!$D$8:$D$307,Amortissement_prêt!$A$8:$A$307,"&gt;"&amp;(A19-1)*12,Amortissement_prêt!$A$8:$A$307,"&lt;="&amp;A19*12)</f>
        <v>7942.5429463176924</v>
      </c>
      <c r="D19" s="6">
        <f>SUMIFS(Amortissement_prêt!$E$8:$E$307,Amortissement_prêt!$A$8:$A$307,"&gt;"&amp;(A19-1)*12,Amortissement_prêt!$A$8:$A$307,"&lt;="&amp;A19*12)</f>
        <v>20070.318040241495</v>
      </c>
      <c r="E19" s="6">
        <f>SUMIFS(Amortissement_prêt!$G$8:$G$307,Amortissement_prêt!$A$8:$A$307,"&gt;"&amp;(A19-1)*12,Amortissement_prêt!$A$8:$A$307,"&lt;="&amp;A19*12)</f>
        <v>340.3946976993297</v>
      </c>
      <c r="F19" s="6">
        <f t="shared" si="0"/>
        <v>28353.255684258515</v>
      </c>
    </row>
    <row r="20" spans="1:6" x14ac:dyDescent="0.25">
      <c r="A20" s="5">
        <v>12</v>
      </c>
      <c r="B20" s="6" cm="1">
        <f t="array" ref="B20">INDEX(Amortissement_prêt!$F$8:$F$307,A20*12)</f>
        <v>195216.17198715176</v>
      </c>
      <c r="C20" s="6">
        <f>SUMIFS(Amortissement_prêt!$D$8:$D$307,Amortissement_prêt!$A$8:$A$307,"&gt;"&amp;(A20-1)*12,Amortissement_prêt!$A$8:$A$307,"&lt;="&amp;A20*12)</f>
        <v>7228.7028889697604</v>
      </c>
      <c r="D20" s="6">
        <f>SUMIFS(Amortissement_prêt!$E$8:$E$307,Amortissement_prêt!$A$8:$A$307,"&gt;"&amp;(A20-1)*12,Amortissement_prêt!$A$8:$A$307,"&lt;="&amp;A20*12)</f>
        <v>20784.158097589421</v>
      </c>
      <c r="E20" s="6">
        <f>SUMIFS(Amortissement_prêt!$G$8:$G$307,Amortissement_prêt!$A$8:$A$307,"&gt;"&amp;(A20-1)*12,Amortissement_prêt!$A$8:$A$307,"&lt;="&amp;A20*12)</f>
        <v>309.8015523844183</v>
      </c>
      <c r="F20" s="6">
        <f t="shared" si="0"/>
        <v>28322.662538943601</v>
      </c>
    </row>
    <row r="21" spans="1:6" x14ac:dyDescent="0.25">
      <c r="A21" s="5">
        <v>13</v>
      </c>
      <c r="B21" s="6" cm="1">
        <f t="array" ref="B21">INDEX(Amortissement_prêt!$F$8:$F$307,A21*12)</f>
        <v>173692.78471648376</v>
      </c>
      <c r="C21" s="6">
        <f>SUMIFS(Amortissement_prêt!$D$8:$D$307,Amortissement_prêt!$A$8:$A$307,"&gt;"&amp;(A21-1)*12,Amortissement_prêt!$A$8:$A$307,"&lt;="&amp;A21*12)</f>
        <v>6489.4737158911867</v>
      </c>
      <c r="D21" s="6">
        <f>SUMIFS(Amortissement_prêt!$E$8:$E$307,Amortissement_prêt!$A$8:$A$307,"&gt;"&amp;(A21-1)*12,Amortissement_prêt!$A$8:$A$307,"&lt;="&amp;A21*12)</f>
        <v>21523.387270667998</v>
      </c>
      <c r="E21" s="6">
        <f>SUMIFS(Amortissement_prêt!$G$8:$G$307,Amortissement_prêt!$A$8:$A$307,"&gt;"&amp;(A21-1)*12,Amortissement_prêt!$A$8:$A$307,"&lt;="&amp;A21*12)</f>
        <v>278.12030210962223</v>
      </c>
      <c r="F21" s="6">
        <f t="shared" si="0"/>
        <v>28290.981288668809</v>
      </c>
    </row>
    <row r="22" spans="1:6" x14ac:dyDescent="0.25">
      <c r="A22" s="5">
        <v>14</v>
      </c>
      <c r="B22" s="6" cm="1">
        <f t="array" ref="B22">INDEX(Amortissement_prêt!$F$8:$F$307,A22*12)</f>
        <v>151403.87614352207</v>
      </c>
      <c r="C22" s="6">
        <f>SUMIFS(Amortissement_prêt!$D$8:$D$307,Amortissement_prêt!$A$8:$A$307,"&gt;"&amp;(A22-1)*12,Amortissement_prêt!$A$8:$A$307,"&lt;="&amp;A22*12)</f>
        <v>5723.9524135974398</v>
      </c>
      <c r="D22" s="6">
        <f>SUMIFS(Amortissement_prêt!$E$8:$E$307,Amortissement_prêt!$A$8:$A$307,"&gt;"&amp;(A22-1)*12,Amortissement_prêt!$A$8:$A$307,"&lt;="&amp;A22*12)</f>
        <v>22288.908572961744</v>
      </c>
      <c r="E22" s="6">
        <f>SUMIFS(Amortissement_prêt!$G$8:$G$307,Amortissement_prêt!$A$8:$A$307,"&gt;"&amp;(A22-1)*12,Amortissement_prêt!$A$8:$A$307,"&lt;="&amp;A22*12)</f>
        <v>245.31224629703314</v>
      </c>
      <c r="F22" s="6">
        <f t="shared" si="0"/>
        <v>28258.173232856214</v>
      </c>
    </row>
    <row r="23" spans="1:6" x14ac:dyDescent="0.25">
      <c r="A23" s="5">
        <v>15</v>
      </c>
      <c r="B23" s="6" cm="1">
        <f t="array" ref="B23">INDEX(Amortissement_prêt!$F$8:$F$307,A23*12)</f>
        <v>128322.21900812874</v>
      </c>
      <c r="C23" s="6">
        <f>SUMIFS(Amortissement_prêt!$D$8:$D$307,Amortissement_prêt!$A$8:$A$307,"&gt;"&amp;(A23-1)*12,Amortissement_prêt!$A$8:$A$307,"&lt;="&amp;A23*12)</f>
        <v>4931.2038511658711</v>
      </c>
      <c r="D23" s="6">
        <f>SUMIFS(Amortissement_prêt!$E$8:$E$307,Amortissement_prêt!$A$8:$A$307,"&gt;"&amp;(A23-1)*12,Amortissement_prêt!$A$8:$A$307,"&lt;="&amp;A23*12)</f>
        <v>23081.657135393314</v>
      </c>
      <c r="E23" s="6">
        <f>SUMIFS(Amortissement_prêt!$G$8:$G$307,Amortissement_prêt!$A$8:$A$307,"&gt;"&amp;(A23-1)*12,Amortissement_prêt!$A$8:$A$307,"&lt;="&amp;A23*12)</f>
        <v>211.33730790710874</v>
      </c>
      <c r="F23" s="6">
        <f t="shared" si="0"/>
        <v>28224.198294466296</v>
      </c>
    </row>
    <row r="24" spans="1:6" x14ac:dyDescent="0.25">
      <c r="A24" s="5">
        <v>16</v>
      </c>
      <c r="B24" s="6" cm="1">
        <f t="array" ref="B24">INDEX(Amortissement_prêt!$F$8:$F$307,A24*12)</f>
        <v>104419.61765948587</v>
      </c>
      <c r="C24" s="6">
        <f>SUMIFS(Amortissement_prêt!$D$8:$D$307,Amortissement_prêt!$A$8:$A$307,"&gt;"&amp;(A24-1)*12,Amortissement_prêt!$A$8:$A$307,"&lt;="&amp;A24*12)</f>
        <v>4110.2596379163133</v>
      </c>
      <c r="D24" s="6">
        <f>SUMIFS(Amortissement_prêt!$E$8:$E$307,Amortissement_prêt!$A$8:$A$307,"&gt;"&amp;(A24-1)*12,Amortissement_prêt!$A$8:$A$307,"&lt;="&amp;A24*12)</f>
        <v>23902.601348642871</v>
      </c>
      <c r="E24" s="6">
        <f>SUMIFS(Amortissement_prêt!$G$8:$G$307,Amortissement_prêt!$A$8:$A$307,"&gt;"&amp;(A24-1)*12,Amortissement_prêt!$A$8:$A$307,"&lt;="&amp;A24*12)</f>
        <v>176.15398448212773</v>
      </c>
      <c r="F24" s="6">
        <f t="shared" si="0"/>
        <v>28189.014971041313</v>
      </c>
    </row>
    <row r="25" spans="1:6" x14ac:dyDescent="0.25">
      <c r="A25" s="5">
        <v>17</v>
      </c>
      <c r="B25" s="6" cm="1">
        <f t="array" ref="B25">INDEX(Amortissement_prêt!$F$8:$F$307,A25*12)</f>
        <v>79666.873613389515</v>
      </c>
      <c r="C25" s="6">
        <f>SUMIFS(Amortissement_prêt!$D$8:$D$307,Amortissement_prêt!$A$8:$A$307,"&gt;"&amp;(A25-1)*12,Amortissement_prêt!$A$8:$A$307,"&lt;="&amp;A25*12)</f>
        <v>3260.1169404628422</v>
      </c>
      <c r="D25" s="6">
        <f>SUMIFS(Amortissement_prêt!$E$8:$E$307,Amortissement_prêt!$A$8:$A$307,"&gt;"&amp;(A25-1)*12,Amortissement_prêt!$A$8:$A$307,"&lt;="&amp;A25*12)</f>
        <v>24752.744046096341</v>
      </c>
      <c r="E25" s="6">
        <f>SUMIFS(Amortissement_prêt!$G$8:$G$307,Amortissement_prêt!$A$8:$A$307,"&gt;"&amp;(A25-1)*12,Amortissement_prêt!$A$8:$A$307,"&lt;="&amp;A25*12)</f>
        <v>139.7192974484075</v>
      </c>
      <c r="F25" s="6">
        <f t="shared" si="0"/>
        <v>28152.580284007588</v>
      </c>
    </row>
    <row r="26" spans="1:6" x14ac:dyDescent="0.25">
      <c r="A26" s="5">
        <v>18</v>
      </c>
      <c r="B26" s="6" cm="1">
        <f t="array" ref="B26">INDEX(Amortissement_prêt!$F$8:$F$307,A26*12)</f>
        <v>54033.749884522018</v>
      </c>
      <c r="C26" s="6">
        <f>SUMIFS(Amortissement_prêt!$D$8:$D$307,Amortissement_prêt!$A$8:$A$307,"&gt;"&amp;(A26-1)*12,Amortissement_prêt!$A$8:$A$307,"&lt;="&amp;A26*12)</f>
        <v>2379.7372576916823</v>
      </c>
      <c r="D26" s="6">
        <f>SUMIFS(Amortissement_prêt!$E$8:$E$307,Amortissement_prêt!$A$8:$A$307,"&gt;"&amp;(A26-1)*12,Amortissement_prêt!$A$8:$A$307,"&lt;="&amp;A26*12)</f>
        <v>25633.1237288675</v>
      </c>
      <c r="E26" s="6">
        <f>SUMIFS(Amortissement_prêt!$G$8:$G$307,Amortissement_prêt!$A$8:$A$307,"&gt;"&amp;(A26-1)*12,Amortissement_prêt!$A$8:$A$307,"&lt;="&amp;A26*12)</f>
        <v>101.98873961535783</v>
      </c>
      <c r="F26" s="6">
        <f t="shared" si="0"/>
        <v>28114.84972617454</v>
      </c>
    </row>
    <row r="27" spans="1:6" x14ac:dyDescent="0.25">
      <c r="A27" s="5">
        <v>19</v>
      </c>
      <c r="B27" s="6" cm="1">
        <f t="array" ref="B27">INDEX(Amortissement_prêt!$F$8:$F$307,A27*12)</f>
        <v>27488.934050131655</v>
      </c>
      <c r="C27" s="6">
        <f>SUMIFS(Amortissement_prêt!$D$8:$D$307,Amortissement_prêt!$A$8:$A$307,"&gt;"&amp;(A27-1)*12,Amortissement_prêt!$A$8:$A$307,"&lt;="&amp;A27*12)</f>
        <v>1468.0451521688126</v>
      </c>
      <c r="D27" s="6">
        <f>SUMIFS(Amortissement_prêt!$E$8:$E$307,Amortissement_prêt!$A$8:$A$307,"&gt;"&amp;(A27-1)*12,Amortissement_prêt!$A$8:$A$307,"&lt;="&amp;A27*12)</f>
        <v>26544.815834390378</v>
      </c>
      <c r="E27" s="6">
        <f>SUMIFS(Amortissement_prêt!$G$8:$G$307,Amortissement_prêt!$A$8:$A$307,"&gt;"&amp;(A27-1)*12,Amortissement_prêt!$A$8:$A$307,"&lt;="&amp;A27*12)</f>
        <v>62.916220807234836</v>
      </c>
      <c r="F27" s="6">
        <f t="shared" si="0"/>
        <v>28075.777207366424</v>
      </c>
    </row>
    <row r="28" spans="1:6" x14ac:dyDescent="0.25">
      <c r="A28" s="5">
        <v>20</v>
      </c>
      <c r="B28" s="6" cm="1">
        <f t="array" ref="B28">INDEX(Amortissement_prêt!$F$8:$F$307,A28*12)</f>
        <v>6.5028871176764369E-11</v>
      </c>
      <c r="C28" s="6">
        <f>SUMIFS(Amortissement_prêt!$D$8:$D$307,Amortissement_prêt!$A$8:$A$307,"&gt;"&amp;(A28-1)*12,Amortissement_prêt!$A$8:$A$307,"&lt;="&amp;A28*12)</f>
        <v>523.92693642759821</v>
      </c>
      <c r="D28" s="6">
        <f>SUMIFS(Amortissement_prêt!$E$8:$E$307,Amortissement_prêt!$A$8:$A$307,"&gt;"&amp;(A28-1)*12,Amortissement_prêt!$A$8:$A$307,"&lt;="&amp;A28*12)</f>
        <v>27488.934050131586</v>
      </c>
      <c r="E28" s="6">
        <f>SUMIFS(Amortissement_prêt!$G$8:$G$307,Amortissement_prêt!$A$8:$A$307,"&gt;"&amp;(A28-1)*12,Amortissement_prêt!$A$8:$A$307,"&lt;="&amp;A28*12)</f>
        <v>22.454011561182782</v>
      </c>
      <c r="F28" s="6">
        <f t="shared" si="0"/>
        <v>28035.314998120364</v>
      </c>
    </row>
    <row r="29" spans="1:6" x14ac:dyDescent="0.25">
      <c r="A29" s="5">
        <v>21</v>
      </c>
      <c r="B29" s="6" cm="1">
        <f t="array" ref="B29">INDEX(Amortissement_prêt!$F$8:$F$307,A29*12)</f>
        <v>6.5028871176764369E-11</v>
      </c>
      <c r="C29" s="6">
        <f>SUMIFS(Amortissement_prêt!$D$8:$D$307,Amortissement_prêt!$A$8:$A$307,"&gt;"&amp;(A29-1)*12,Amortissement_prêt!$A$8:$A$307,"&lt;="&amp;A29*12)</f>
        <v>2.2760104911867529E-12</v>
      </c>
      <c r="D29" s="6">
        <f>SUMIFS(Amortissement_prêt!$E$8:$E$307,Amortissement_prêt!$A$8:$A$307,"&gt;"&amp;(A29-1)*12,Amortissement_prêt!$A$8:$A$307,"&lt;="&amp;A29*12)</f>
        <v>0</v>
      </c>
      <c r="E29" s="6">
        <f>SUMIFS(Amortissement_prêt!$G$8:$G$307,Amortissement_prêt!$A$8:$A$307,"&gt;"&amp;(A29-1)*12,Amortissement_prêt!$A$8:$A$307,"&lt;="&amp;A29*12)</f>
        <v>0</v>
      </c>
      <c r="F29" s="6">
        <f t="shared" si="0"/>
        <v>2.2760104911867529E-12</v>
      </c>
    </row>
    <row r="30" spans="1:6" x14ac:dyDescent="0.25">
      <c r="A30" s="5">
        <v>22</v>
      </c>
      <c r="B30" s="6" cm="1">
        <f t="array" ref="B30">INDEX(Amortissement_prêt!$F$8:$F$307,A30*12)</f>
        <v>6.5028871176764369E-11</v>
      </c>
      <c r="C30" s="6">
        <f>SUMIFS(Amortissement_prêt!$D$8:$D$307,Amortissement_prêt!$A$8:$A$307,"&gt;"&amp;(A30-1)*12,Amortissement_prêt!$A$8:$A$307,"&lt;="&amp;A30*12)</f>
        <v>2.2760104911867529E-12</v>
      </c>
      <c r="D30" s="6">
        <f>SUMIFS(Amortissement_prêt!$E$8:$E$307,Amortissement_prêt!$A$8:$A$307,"&gt;"&amp;(A30-1)*12,Amortissement_prêt!$A$8:$A$307,"&lt;="&amp;A30*12)</f>
        <v>0</v>
      </c>
      <c r="E30" s="6">
        <f>SUMIFS(Amortissement_prêt!$G$8:$G$307,Amortissement_prêt!$A$8:$A$307,"&gt;"&amp;(A30-1)*12,Amortissement_prêt!$A$8:$A$307,"&lt;="&amp;A30*12)</f>
        <v>0</v>
      </c>
      <c r="F30" s="6">
        <f t="shared" si="0"/>
        <v>2.2760104911867529E-12</v>
      </c>
    </row>
    <row r="31" spans="1:6" x14ac:dyDescent="0.25">
      <c r="A31" s="5">
        <v>23</v>
      </c>
      <c r="B31" s="6" cm="1">
        <f t="array" ref="B31">INDEX(Amortissement_prêt!$F$8:$F$307,A31*12)</f>
        <v>6.5028871176764369E-11</v>
      </c>
      <c r="C31" s="6">
        <f>SUMIFS(Amortissement_prêt!$D$8:$D$307,Amortissement_prêt!$A$8:$A$307,"&gt;"&amp;(A31-1)*12,Amortissement_prêt!$A$8:$A$307,"&lt;="&amp;A31*12)</f>
        <v>2.2760104911867529E-12</v>
      </c>
      <c r="D31" s="6">
        <f>SUMIFS(Amortissement_prêt!$E$8:$E$307,Amortissement_prêt!$A$8:$A$307,"&gt;"&amp;(A31-1)*12,Amortissement_prêt!$A$8:$A$307,"&lt;="&amp;A31*12)</f>
        <v>0</v>
      </c>
      <c r="E31" s="6">
        <f>SUMIFS(Amortissement_prêt!$G$8:$G$307,Amortissement_prêt!$A$8:$A$307,"&gt;"&amp;(A31-1)*12,Amortissement_prêt!$A$8:$A$307,"&lt;="&amp;A31*12)</f>
        <v>0</v>
      </c>
      <c r="F31" s="6">
        <f t="shared" si="0"/>
        <v>2.2760104911867529E-12</v>
      </c>
    </row>
    <row r="32" spans="1:6" x14ac:dyDescent="0.25">
      <c r="A32" s="5">
        <v>24</v>
      </c>
      <c r="B32" s="6" cm="1">
        <f t="array" ref="B32">INDEX(Amortissement_prêt!$F$8:$F$307,A32*12)</f>
        <v>6.5028871176764369E-11</v>
      </c>
      <c r="C32" s="6">
        <f>SUMIFS(Amortissement_prêt!$D$8:$D$307,Amortissement_prêt!$A$8:$A$307,"&gt;"&amp;(A32-1)*12,Amortissement_prêt!$A$8:$A$307,"&lt;="&amp;A32*12)</f>
        <v>2.2760104911867529E-12</v>
      </c>
      <c r="D32" s="6">
        <f>SUMIFS(Amortissement_prêt!$E$8:$E$307,Amortissement_prêt!$A$8:$A$307,"&gt;"&amp;(A32-1)*12,Amortissement_prêt!$A$8:$A$307,"&lt;="&amp;A32*12)</f>
        <v>0</v>
      </c>
      <c r="E32" s="6">
        <f>SUMIFS(Amortissement_prêt!$G$8:$G$307,Amortissement_prêt!$A$8:$A$307,"&gt;"&amp;(A32-1)*12,Amortissement_prêt!$A$8:$A$307,"&lt;="&amp;A32*12)</f>
        <v>0</v>
      </c>
      <c r="F32" s="6">
        <f t="shared" si="0"/>
        <v>2.2760104911867529E-12</v>
      </c>
    </row>
    <row r="33" spans="1:6" x14ac:dyDescent="0.25">
      <c r="A33" s="5">
        <v>25</v>
      </c>
      <c r="B33" s="6" cm="1">
        <f t="array" ref="B33">INDEX(Amortissement_prêt!$F$8:$F$307,A33*12)</f>
        <v>6.5028871176764369E-11</v>
      </c>
      <c r="C33" s="6">
        <f>SUMIFS(Amortissement_prêt!$D$8:$D$307,Amortissement_prêt!$A$8:$A$307,"&gt;"&amp;(A33-1)*12,Amortissement_prêt!$A$8:$A$307,"&lt;="&amp;A33*12)</f>
        <v>2.2760104911867529E-12</v>
      </c>
      <c r="D33" s="6">
        <f>SUMIFS(Amortissement_prêt!$E$8:$E$307,Amortissement_prêt!$A$8:$A$307,"&gt;"&amp;(A33-1)*12,Amortissement_prêt!$A$8:$A$307,"&lt;="&amp;A33*12)</f>
        <v>0</v>
      </c>
      <c r="E33" s="6">
        <f>SUMIFS(Amortissement_prêt!$G$8:$G$307,Amortissement_prêt!$A$8:$A$307,"&gt;"&amp;(A33-1)*12,Amortissement_prêt!$A$8:$A$307,"&lt;="&amp;A33*12)</f>
        <v>0</v>
      </c>
      <c r="F33" s="6">
        <f t="shared" si="0"/>
        <v>2.2760104911867529E-12</v>
      </c>
    </row>
    <row r="34" spans="1:6" x14ac:dyDescent="0.25">
      <c r="B34" s="1"/>
    </row>
    <row r="35" spans="1:6" x14ac:dyDescent="0.25">
      <c r="B35" s="1"/>
    </row>
    <row r="36" spans="1:6" x14ac:dyDescent="0.25">
      <c r="B36" s="1"/>
    </row>
    <row r="37" spans="1:6" x14ac:dyDescent="0.25">
      <c r="B37" s="1"/>
    </row>
    <row r="38" spans="1:6" x14ac:dyDescent="0.25">
      <c r="B3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B356-E465-4032-96FF-6B8428E17673}">
  <dimension ref="A1:I27"/>
  <sheetViews>
    <sheetView workbookViewId="0">
      <selection activeCell="M17" sqref="M17"/>
    </sheetView>
  </sheetViews>
  <sheetFormatPr baseColWidth="10" defaultRowHeight="15" x14ac:dyDescent="0.25"/>
  <cols>
    <col min="2" max="2" width="13.7109375" bestFit="1" customWidth="1"/>
    <col min="3" max="3" width="14.7109375" bestFit="1" customWidth="1"/>
    <col min="4" max="4" width="13.7109375" bestFit="1" customWidth="1"/>
    <col min="5" max="5" width="12.5703125" bestFit="1" customWidth="1"/>
    <col min="6" max="6" width="25.42578125" bestFit="1" customWidth="1"/>
    <col min="7" max="7" width="24" bestFit="1" customWidth="1"/>
    <col min="8" max="8" width="20.85546875" bestFit="1" customWidth="1"/>
    <col min="9" max="9" width="24.28515625" bestFit="1" customWidth="1"/>
  </cols>
  <sheetData>
    <row r="1" spans="1:9" x14ac:dyDescent="0.25">
      <c r="A1" t="s">
        <v>33</v>
      </c>
      <c r="B1" t="s">
        <v>34</v>
      </c>
      <c r="C1" t="s">
        <v>24</v>
      </c>
      <c r="D1" t="s">
        <v>35</v>
      </c>
      <c r="E1" t="s">
        <v>30</v>
      </c>
      <c r="F1" t="s">
        <v>36</v>
      </c>
      <c r="G1" t="s">
        <v>37</v>
      </c>
      <c r="H1" t="s">
        <v>38</v>
      </c>
      <c r="I1" t="s">
        <v>39</v>
      </c>
    </row>
    <row r="2" spans="1:9" x14ac:dyDescent="0.25">
      <c r="A2">
        <v>0</v>
      </c>
      <c r="B2" s="1">
        <f>Projet!$C$12</f>
        <v>500000</v>
      </c>
    </row>
    <row r="3" spans="1:9" x14ac:dyDescent="0.25">
      <c r="A3">
        <v>1</v>
      </c>
      <c r="B3" s="1">
        <f>$B$2*(1+Projet!$C$22)^A3</f>
        <v>505000</v>
      </c>
      <c r="C3" s="1" cm="1">
        <f t="array" ref="C3">IF(A3&gt;25,0,INDEX(Amortissement_annuel_prêt!$B$9:$B$33,A3))</f>
        <v>388361.06910771038</v>
      </c>
      <c r="D3" s="1">
        <f>Projet!$C$20*(1+Projet!$C$24)^(A3-1)</f>
        <v>1500</v>
      </c>
      <c r="E3" s="1">
        <f>Projet!$C$21*(1+Projet!$C$23)^(A3-1)</f>
        <v>1500</v>
      </c>
      <c r="F3" s="1" cm="1">
        <f t="array" ref="F3">IF(A3&gt;25,0,INDEX(Amortissement_annuel_prêt!$F$9:$F$33,A3))</f>
        <v>28606.961276313588</v>
      </c>
      <c r="G3" s="1">
        <f>D3+E3</f>
        <v>3000</v>
      </c>
      <c r="H3" s="1">
        <f>F3+G3</f>
        <v>31606.961276313588</v>
      </c>
      <c r="I3" s="1">
        <f>B3-C3</f>
        <v>116638.93089228962</v>
      </c>
    </row>
    <row r="4" spans="1:9" x14ac:dyDescent="0.25">
      <c r="A4">
        <v>2</v>
      </c>
      <c r="B4" s="1">
        <f>$B$2*(1+Projet!$C$22)^A4</f>
        <v>510050</v>
      </c>
      <c r="C4" s="1" cm="1">
        <f t="array" ref="C4">IF(A4&gt;25,0,INDEX(Amortissement_annuel_prêt!$B$9:$B$33,A4))</f>
        <v>373707.25730468362</v>
      </c>
      <c r="D4" s="1">
        <f>Projet!$C$20*(1+Projet!$C$24)^(A4-1)</f>
        <v>1515</v>
      </c>
      <c r="E4" s="1">
        <f>Projet!$C$21*(1+Projet!$C$23)^(A4-1)</f>
        <v>1515</v>
      </c>
      <c r="F4" s="1" cm="1">
        <f t="array" ref="F4">IF(A4&gt;25,0,INDEX(Amortissement_annuel_prêt!$F$9:$F$33,A4))</f>
        <v>28585.391665853429</v>
      </c>
      <c r="G4" s="1">
        <f t="shared" ref="G4:G27" si="0">D4+E4</f>
        <v>3030</v>
      </c>
      <c r="H4" s="1">
        <f t="shared" ref="H4:H27" si="1">F4+G4</f>
        <v>31615.391665853429</v>
      </c>
      <c r="I4" s="1">
        <f t="shared" ref="I4:I27" si="2">B4-C4</f>
        <v>136342.74269531638</v>
      </c>
    </row>
    <row r="5" spans="1:9" x14ac:dyDescent="0.25">
      <c r="A5">
        <v>3</v>
      </c>
      <c r="B5" s="1">
        <f>$B$2*(1+Projet!$C$22)^A5</f>
        <v>515150.49999999994</v>
      </c>
      <c r="C5" s="1" cm="1">
        <f t="array" ref="C5">IF(A5&gt;25,0,INDEX(Amortissement_annuel_prêt!$B$9:$B$33,A5))</f>
        <v>358532.25406677951</v>
      </c>
      <c r="D5" s="1">
        <f>Projet!$C$20*(1+Projet!$C$24)^(A5-1)</f>
        <v>1530.15</v>
      </c>
      <c r="E5" s="1">
        <f>Projet!$C$21*(1+Projet!$C$23)^(A5-1)</f>
        <v>1530.15</v>
      </c>
      <c r="F5" s="1" cm="1">
        <f t="array" ref="F5">IF(A5&gt;25,0,INDEX(Amortissement_annuel_prêt!$F$9:$F$33,A5))</f>
        <v>28563.054890072966</v>
      </c>
      <c r="G5" s="1">
        <f t="shared" si="0"/>
        <v>3060.3</v>
      </c>
      <c r="H5" s="1">
        <f t="shared" si="1"/>
        <v>31623.354890072966</v>
      </c>
      <c r="I5" s="1">
        <f t="shared" si="2"/>
        <v>156618.24593322043</v>
      </c>
    </row>
    <row r="6" spans="1:9" x14ac:dyDescent="0.25">
      <c r="A6">
        <v>4</v>
      </c>
      <c r="B6" s="1">
        <f>$B$2*(1+Projet!$C$22)^A6</f>
        <v>520302.005</v>
      </c>
      <c r="C6" s="1" cm="1">
        <f t="array" ref="C6">IF(A6&gt;25,0,INDEX(Amortissement_annuel_prêt!$B$9:$B$33,A6))</f>
        <v>342817.52220275783</v>
      </c>
      <c r="D6" s="1">
        <f>Projet!$C$20*(1+Projet!$C$24)^(A6-1)</f>
        <v>1545.4514999999999</v>
      </c>
      <c r="E6" s="1">
        <f>Projet!$C$21*(1+Projet!$C$23)^(A6-1)</f>
        <v>1545.4514999999999</v>
      </c>
      <c r="F6" s="1" cm="1">
        <f t="array" ref="F6">IF(A6&gt;25,0,INDEX(Amortissement_annuel_prêt!$F$9:$F$33,A6))</f>
        <v>28539.923663239366</v>
      </c>
      <c r="G6" s="1">
        <f t="shared" si="0"/>
        <v>3090.9029999999998</v>
      </c>
      <c r="H6" s="1">
        <f t="shared" si="1"/>
        <v>31630.826663239364</v>
      </c>
      <c r="I6" s="1">
        <f t="shared" si="2"/>
        <v>177484.48279724218</v>
      </c>
    </row>
    <row r="7" spans="1:9" x14ac:dyDescent="0.25">
      <c r="A7">
        <v>5</v>
      </c>
      <c r="B7" s="1">
        <f>$B$2*(1+Projet!$C$22)^A7</f>
        <v>525505.02504999994</v>
      </c>
      <c r="C7" s="1" cm="1">
        <f t="array" ref="C7">IF(A7&gt;25,0,INDEX(Amortissement_annuel_prêt!$B$9:$B$33,A7))</f>
        <v>326543.86520996998</v>
      </c>
      <c r="D7" s="1">
        <f>Projet!$C$20*(1+Projet!$C$24)^(A7-1)</f>
        <v>1560.906015</v>
      </c>
      <c r="E7" s="1">
        <f>Projet!$C$21*(1+Projet!$C$23)^(A7-1)</f>
        <v>1560.906015</v>
      </c>
      <c r="F7" s="1" cm="1">
        <f t="array" ref="F7">IF(A7&gt;25,0,INDEX(Amortissement_annuel_prêt!$F$9:$F$33,A7))</f>
        <v>28515.969729149383</v>
      </c>
      <c r="G7" s="1">
        <f t="shared" si="0"/>
        <v>3121.81203</v>
      </c>
      <c r="H7" s="1">
        <f t="shared" si="1"/>
        <v>31637.781759149384</v>
      </c>
      <c r="I7" s="1">
        <f t="shared" si="2"/>
        <v>198961.15984002996</v>
      </c>
    </row>
    <row r="8" spans="1:9" x14ac:dyDescent="0.25">
      <c r="A8">
        <v>6</v>
      </c>
      <c r="B8" s="1">
        <f>$B$2*(1+Projet!$C$22)^A8</f>
        <v>530760.07530050003</v>
      </c>
      <c r="C8" s="1" cm="1">
        <f t="array" ref="C8">IF(A8&gt;25,0,INDEX(Amortissement_annuel_prêt!$B$9:$B$33,A8))</f>
        <v>309691.40382466075</v>
      </c>
      <c r="D8" s="1">
        <f>Projet!$C$20*(1+Projet!$C$24)^(A8-1)</f>
        <v>1576.5150751499998</v>
      </c>
      <c r="E8" s="1">
        <f>Projet!$C$21*(1+Projet!$C$23)^(A8-1)</f>
        <v>1576.5150751499998</v>
      </c>
      <c r="F8" s="1" cm="1">
        <f t="array" ref="F8">IF(A8&gt;25,0,INDEX(Amortissement_annuel_prêt!$F$9:$F$33,A8))</f>
        <v>28491.163826612759</v>
      </c>
      <c r="G8" s="1">
        <f t="shared" si="0"/>
        <v>3153.0301502999996</v>
      </c>
      <c r="H8" s="1">
        <f t="shared" si="1"/>
        <v>31644.19397691276</v>
      </c>
      <c r="I8" s="1">
        <f t="shared" si="2"/>
        <v>221068.67147583928</v>
      </c>
    </row>
    <row r="9" spans="1:9" x14ac:dyDescent="0.25">
      <c r="A9">
        <v>7</v>
      </c>
      <c r="B9" s="1">
        <f>$B$2*(1+Projet!$C$22)^A9</f>
        <v>536067.67605350493</v>
      </c>
      <c r="C9" s="1" cm="1">
        <f t="array" ref="C9">IF(A9&gt;25,0,INDEX(Amortissement_annuel_prêt!$B$9:$B$33,A9))</f>
        <v>292239.55173823657</v>
      </c>
      <c r="D9" s="1">
        <f>Projet!$C$20*(1+Projet!$C$24)^(A9-1)</f>
        <v>1592.2802259015002</v>
      </c>
      <c r="E9" s="1">
        <f>Projet!$C$21*(1+Projet!$C$23)^(A9-1)</f>
        <v>1592.2802259015002</v>
      </c>
      <c r="F9" s="1" cm="1">
        <f t="array" ref="F9">IF(A9&gt;25,0,INDEX(Amortissement_annuel_prêt!$F$9:$F$33,A9))</f>
        <v>28465.475653707825</v>
      </c>
      <c r="G9" s="1">
        <f t="shared" si="0"/>
        <v>3184.5604518030004</v>
      </c>
      <c r="H9" s="1">
        <f t="shared" si="1"/>
        <v>31650.036105510826</v>
      </c>
      <c r="I9" s="1">
        <f t="shared" si="2"/>
        <v>243828.12431526836</v>
      </c>
    </row>
    <row r="10" spans="1:9" x14ac:dyDescent="0.25">
      <c r="A10">
        <v>8</v>
      </c>
      <c r="B10" s="1">
        <f>$B$2*(1+Projet!$C$22)^A10</f>
        <v>541428.35281404015</v>
      </c>
      <c r="C10" s="1" cm="1">
        <f t="array" ref="C10">IF(A10&gt;25,0,INDEX(Amortissement_annuel_prêt!$B$9:$B$33,A10))</f>
        <v>274166.99044983438</v>
      </c>
      <c r="D10" s="1">
        <f>Projet!$C$20*(1+Projet!$C$24)^(A10-1)</f>
        <v>1608.2030281605148</v>
      </c>
      <c r="E10" s="1">
        <f>Projet!$C$21*(1+Projet!$C$23)^(A10-1)</f>
        <v>1608.2030281605148</v>
      </c>
      <c r="F10" s="1" cm="1">
        <f t="array" ref="F10">IF(A10&gt;25,0,INDEX(Amortissement_annuel_prêt!$F$9:$F$33,A10))</f>
        <v>28438.873830765908</v>
      </c>
      <c r="G10" s="1">
        <f t="shared" si="0"/>
        <v>3216.4060563210296</v>
      </c>
      <c r="H10" s="1">
        <f t="shared" si="1"/>
        <v>31655.279887086937</v>
      </c>
      <c r="I10" s="1">
        <f t="shared" si="2"/>
        <v>267261.36236420576</v>
      </c>
    </row>
    <row r="11" spans="1:9" x14ac:dyDescent="0.25">
      <c r="A11">
        <v>9</v>
      </c>
      <c r="B11" s="1">
        <f>$B$2*(1+Projet!$C$22)^A11</f>
        <v>546842.63634218054</v>
      </c>
      <c r="C11" s="1" cm="1">
        <f t="array" ref="C11">IF(A11&gt;25,0,INDEX(Amortissement_annuel_prêt!$B$9:$B$33,A11))</f>
        <v>255451.64322447442</v>
      </c>
      <c r="D11" s="1">
        <f>Projet!$C$20*(1+Projet!$C$24)^(A11-1)</f>
        <v>1624.2850584421203</v>
      </c>
      <c r="E11" s="1">
        <f>Projet!$C$21*(1+Projet!$C$23)^(A11-1)</f>
        <v>1624.2850584421203</v>
      </c>
      <c r="F11" s="1" cm="1">
        <f t="array" ref="F11">IF(A11&gt;25,0,INDEX(Amortissement_annuel_prêt!$F$9:$F$33,A11))</f>
        <v>28411.325862039153</v>
      </c>
      <c r="G11" s="1">
        <f t="shared" si="0"/>
        <v>3248.5701168842406</v>
      </c>
      <c r="H11" s="1">
        <f t="shared" si="1"/>
        <v>31659.895978923392</v>
      </c>
      <c r="I11" s="1">
        <f t="shared" si="2"/>
        <v>291390.99311770615</v>
      </c>
    </row>
    <row r="12" spans="1:9" x14ac:dyDescent="0.25">
      <c r="A12">
        <v>10</v>
      </c>
      <c r="B12" s="1">
        <f>$B$2*(1+Projet!$C$22)^A12</f>
        <v>552311.06270560238</v>
      </c>
      <c r="C12" s="1" cm="1">
        <f t="array" ref="C12">IF(A12&gt;25,0,INDEX(Amortissement_annuel_prêt!$B$9:$B$33,A12))</f>
        <v>236070.64812498266</v>
      </c>
      <c r="D12" s="1">
        <f>Projet!$C$20*(1+Projet!$C$24)^(A12-1)</f>
        <v>1640.5279090265417</v>
      </c>
      <c r="E12" s="1">
        <f>Projet!$C$21*(1+Projet!$C$23)^(A12-1)</f>
        <v>1640.5279090265417</v>
      </c>
      <c r="F12" s="1" cm="1">
        <f t="array" ref="F12">IF(A12&gt;25,0,INDEX(Amortissement_annuel_prêt!$F$9:$F$33,A12))</f>
        <v>28382.798096004924</v>
      </c>
      <c r="G12" s="1">
        <f t="shared" si="0"/>
        <v>3281.0558180530834</v>
      </c>
      <c r="H12" s="1">
        <f t="shared" si="1"/>
        <v>31663.853914058007</v>
      </c>
      <c r="I12" s="1">
        <f t="shared" si="2"/>
        <v>316240.41458061972</v>
      </c>
    </row>
    <row r="13" spans="1:9" x14ac:dyDescent="0.25">
      <c r="A13">
        <v>11</v>
      </c>
      <c r="B13" s="1">
        <f>$B$2*(1+Projet!$C$22)^A13</f>
        <v>557834.17333265825</v>
      </c>
      <c r="C13" s="1" cm="1">
        <f t="array" ref="C13">IF(A13&gt;25,0,INDEX(Amortissement_annuel_prêt!$B$9:$B$33,A13))</f>
        <v>216000.33008474117</v>
      </c>
      <c r="D13" s="1">
        <f>Projet!$C$20*(1+Projet!$C$24)^(A13-1)</f>
        <v>1656.9331881168071</v>
      </c>
      <c r="E13" s="1">
        <f>Projet!$C$21*(1+Projet!$C$23)^(A13-1)</f>
        <v>1656.9331881168071</v>
      </c>
      <c r="F13" s="1" cm="1">
        <f t="array" ref="F13">IF(A13&gt;25,0,INDEX(Amortissement_annuel_prêt!$F$9:$F$33,A13))</f>
        <v>28353.255684258515</v>
      </c>
      <c r="G13" s="1">
        <f t="shared" si="0"/>
        <v>3313.8663762336141</v>
      </c>
      <c r="H13" s="1">
        <f t="shared" si="1"/>
        <v>31667.122060492129</v>
      </c>
      <c r="I13" s="1">
        <f t="shared" si="2"/>
        <v>341833.84324791707</v>
      </c>
    </row>
    <row r="14" spans="1:9" x14ac:dyDescent="0.25">
      <c r="A14">
        <v>12</v>
      </c>
      <c r="B14" s="1">
        <f>$B$2*(1+Projet!$C$22)^A14</f>
        <v>563412.51506598492</v>
      </c>
      <c r="C14" s="1" cm="1">
        <f t="array" ref="C14">IF(A14&gt;25,0,INDEX(Amortissement_annuel_prêt!$B$9:$B$33,A14))</f>
        <v>195216.17198715176</v>
      </c>
      <c r="D14" s="1">
        <f>Projet!$C$20*(1+Projet!$C$24)^(A14-1)</f>
        <v>1673.5025199979748</v>
      </c>
      <c r="E14" s="1">
        <f>Projet!$C$21*(1+Projet!$C$23)^(A14-1)</f>
        <v>1673.5025199979748</v>
      </c>
      <c r="F14" s="1" cm="1">
        <f t="array" ref="F14">IF(A14&gt;25,0,INDEX(Amortissement_annuel_prêt!$F$9:$F$33,A14))</f>
        <v>28322.662538943601</v>
      </c>
      <c r="G14" s="1">
        <f t="shared" si="0"/>
        <v>3347.0050399959496</v>
      </c>
      <c r="H14" s="1">
        <f t="shared" si="1"/>
        <v>31669.667578939552</v>
      </c>
      <c r="I14" s="1">
        <f t="shared" si="2"/>
        <v>368196.34307883319</v>
      </c>
    </row>
    <row r="15" spans="1:9" x14ac:dyDescent="0.25">
      <c r="A15">
        <v>13</v>
      </c>
      <c r="B15" s="1">
        <f>$B$2*(1+Projet!$C$22)^A15</f>
        <v>569046.64021664474</v>
      </c>
      <c r="C15" s="1" cm="1">
        <f t="array" ref="C15">IF(A15&gt;25,0,INDEX(Amortissement_annuel_prêt!$B$9:$B$33,A15))</f>
        <v>173692.78471648376</v>
      </c>
      <c r="D15" s="1">
        <f>Projet!$C$20*(1+Projet!$C$24)^(A15-1)</f>
        <v>1690.2375451979547</v>
      </c>
      <c r="E15" s="1">
        <f>Projet!$C$21*(1+Projet!$C$23)^(A15-1)</f>
        <v>1690.2375451979547</v>
      </c>
      <c r="F15" s="1" cm="1">
        <f t="array" ref="F15">IF(A15&gt;25,0,INDEX(Amortissement_annuel_prêt!$F$9:$F$33,A15))</f>
        <v>28290.981288668809</v>
      </c>
      <c r="G15" s="1">
        <f t="shared" si="0"/>
        <v>3380.4750903959093</v>
      </c>
      <c r="H15" s="1">
        <f t="shared" si="1"/>
        <v>31671.456379064719</v>
      </c>
      <c r="I15" s="1">
        <f t="shared" si="2"/>
        <v>395353.85550016095</v>
      </c>
    </row>
    <row r="16" spans="1:9" x14ac:dyDescent="0.25">
      <c r="A16">
        <v>14</v>
      </c>
      <c r="B16" s="1">
        <f>$B$2*(1+Projet!$C$22)^A16</f>
        <v>574737.10661881126</v>
      </c>
      <c r="C16" s="1" cm="1">
        <f t="array" ref="C16">IF(A16&gt;25,0,INDEX(Amortissement_annuel_prêt!$B$9:$B$33,A16))</f>
        <v>151403.87614352207</v>
      </c>
      <c r="D16" s="1">
        <f>Projet!$C$20*(1+Projet!$C$24)^(A16-1)</f>
        <v>1707.1399206499343</v>
      </c>
      <c r="E16" s="1">
        <f>Projet!$C$21*(1+Projet!$C$23)^(A16-1)</f>
        <v>1707.1399206499343</v>
      </c>
      <c r="F16" s="1" cm="1">
        <f t="array" ref="F16">IF(A16&gt;25,0,INDEX(Amortissement_annuel_prêt!$F$9:$F$33,A16))</f>
        <v>28258.173232856214</v>
      </c>
      <c r="G16" s="1">
        <f t="shared" si="0"/>
        <v>3414.2798412998686</v>
      </c>
      <c r="H16" s="1">
        <f t="shared" si="1"/>
        <v>31672.453074156081</v>
      </c>
      <c r="I16" s="1">
        <f t="shared" si="2"/>
        <v>423333.23047528917</v>
      </c>
    </row>
    <row r="17" spans="1:9" x14ac:dyDescent="0.25">
      <c r="A17">
        <v>15</v>
      </c>
      <c r="B17" s="1">
        <f>$B$2*(1+Projet!$C$22)^A17</f>
        <v>580484.47768499923</v>
      </c>
      <c r="C17" s="1" cm="1">
        <f t="array" ref="C17">IF(A17&gt;25,0,INDEX(Amortissement_annuel_prêt!$B$9:$B$33,A17))</f>
        <v>128322.21900812874</v>
      </c>
      <c r="D17" s="1">
        <f>Projet!$C$20*(1+Projet!$C$24)^(A17-1)</f>
        <v>1724.2113198564339</v>
      </c>
      <c r="E17" s="1">
        <f>Projet!$C$21*(1+Projet!$C$23)^(A17-1)</f>
        <v>1724.2113198564339</v>
      </c>
      <c r="F17" s="1" cm="1">
        <f t="array" ref="F17">IF(A17&gt;25,0,INDEX(Amortissement_annuel_prêt!$F$9:$F$33,A17))</f>
        <v>28224.198294466296</v>
      </c>
      <c r="G17" s="1">
        <f t="shared" si="0"/>
        <v>3448.4226397128677</v>
      </c>
      <c r="H17" s="1">
        <f t="shared" si="1"/>
        <v>31672.620934179162</v>
      </c>
      <c r="I17" s="1">
        <f t="shared" si="2"/>
        <v>452162.25867687049</v>
      </c>
    </row>
    <row r="18" spans="1:9" x14ac:dyDescent="0.25">
      <c r="A18">
        <v>16</v>
      </c>
      <c r="B18" s="1">
        <f>$B$2*(1+Projet!$C$22)^A18</f>
        <v>586289.32246184943</v>
      </c>
      <c r="C18" s="1" cm="1">
        <f t="array" ref="C18">IF(A18&gt;25,0,INDEX(Amortissement_annuel_prêt!$B$9:$B$33,A18))</f>
        <v>104419.61765948587</v>
      </c>
      <c r="D18" s="1">
        <f>Projet!$C$20*(1+Projet!$C$24)^(A18-1)</f>
        <v>1741.4534330549977</v>
      </c>
      <c r="E18" s="1">
        <f>Projet!$C$21*(1+Projet!$C$23)^(A18-1)</f>
        <v>1741.4534330549977</v>
      </c>
      <c r="F18" s="1" cm="1">
        <f t="array" ref="F18">IF(A18&gt;25,0,INDEX(Amortissement_annuel_prêt!$F$9:$F$33,A18))</f>
        <v>28189.014971041313</v>
      </c>
      <c r="G18" s="1">
        <f t="shared" si="0"/>
        <v>3482.9068661099955</v>
      </c>
      <c r="H18" s="1">
        <f t="shared" si="1"/>
        <v>31671.921837151309</v>
      </c>
      <c r="I18" s="1">
        <f t="shared" si="2"/>
        <v>481869.70480236353</v>
      </c>
    </row>
    <row r="19" spans="1:9" x14ac:dyDescent="0.25">
      <c r="A19">
        <v>17</v>
      </c>
      <c r="B19" s="1">
        <f>$B$2*(1+Projet!$C$22)^A19</f>
        <v>592152.21568646794</v>
      </c>
      <c r="C19" s="1" cm="1">
        <f t="array" ref="C19">IF(A19&gt;25,0,INDEX(Amortissement_annuel_prêt!$B$9:$B$33,A19))</f>
        <v>79666.873613389515</v>
      </c>
      <c r="D19" s="1">
        <f>Projet!$C$20*(1+Projet!$C$24)^(A19-1)</f>
        <v>1758.8679673855481</v>
      </c>
      <c r="E19" s="1">
        <f>Projet!$C$21*(1+Projet!$C$23)^(A19-1)</f>
        <v>1758.8679673855481</v>
      </c>
      <c r="F19" s="1" cm="1">
        <f t="array" ref="F19">IF(A19&gt;25,0,INDEX(Amortissement_annuel_prêt!$F$9:$F$33,A19))</f>
        <v>28152.580284007588</v>
      </c>
      <c r="G19" s="1">
        <f t="shared" si="0"/>
        <v>3517.7359347710963</v>
      </c>
      <c r="H19" s="1">
        <f t="shared" si="1"/>
        <v>31670.316218778684</v>
      </c>
      <c r="I19" s="1">
        <f t="shared" si="2"/>
        <v>512485.34207307844</v>
      </c>
    </row>
    <row r="20" spans="1:9" x14ac:dyDescent="0.25">
      <c r="A20">
        <v>18</v>
      </c>
      <c r="B20" s="1">
        <f>$B$2*(1+Projet!$C$22)^A20</f>
        <v>598073.73784333258</v>
      </c>
      <c r="C20" s="1" cm="1">
        <f t="array" ref="C20">IF(A20&gt;25,0,INDEX(Amortissement_annuel_prêt!$B$9:$B$33,A20))</f>
        <v>54033.749884522018</v>
      </c>
      <c r="D20" s="1">
        <f>Projet!$C$20*(1+Projet!$C$24)^(A20-1)</f>
        <v>1776.4566470594038</v>
      </c>
      <c r="E20" s="1">
        <f>Projet!$C$21*(1+Projet!$C$23)^(A20-1)</f>
        <v>1776.4566470594038</v>
      </c>
      <c r="F20" s="1" cm="1">
        <f t="array" ref="F20">IF(A20&gt;25,0,INDEX(Amortissement_annuel_prêt!$F$9:$F$33,A20))</f>
        <v>28114.84972617454</v>
      </c>
      <c r="G20" s="1">
        <f t="shared" si="0"/>
        <v>3552.9132941188077</v>
      </c>
      <c r="H20" s="1">
        <f t="shared" si="1"/>
        <v>31667.763020293347</v>
      </c>
      <c r="I20" s="1">
        <f t="shared" si="2"/>
        <v>544039.98795881053</v>
      </c>
    </row>
    <row r="21" spans="1:9" x14ac:dyDescent="0.25">
      <c r="A21">
        <v>19</v>
      </c>
      <c r="B21" s="1">
        <f>$B$2*(1+Projet!$C$22)^A21</f>
        <v>604054.47522176581</v>
      </c>
      <c r="C21" s="1" cm="1">
        <f t="array" ref="C21">IF(A21&gt;25,0,INDEX(Amortissement_annuel_prêt!$B$9:$B$33,A21))</f>
        <v>27488.934050131655</v>
      </c>
      <c r="D21" s="1">
        <f>Projet!$C$20*(1+Projet!$C$24)^(A21-1)</f>
        <v>1794.2212135299978</v>
      </c>
      <c r="E21" s="1">
        <f>Projet!$C$21*(1+Projet!$C$23)^(A21-1)</f>
        <v>1794.2212135299978</v>
      </c>
      <c r="F21" s="1" cm="1">
        <f t="array" ref="F21">IF(A21&gt;25,0,INDEX(Amortissement_annuel_prêt!$F$9:$F$33,A21))</f>
        <v>28075.777207366424</v>
      </c>
      <c r="G21" s="1">
        <f t="shared" si="0"/>
        <v>3588.4424270599957</v>
      </c>
      <c r="H21" s="1">
        <f t="shared" si="1"/>
        <v>31664.219634426419</v>
      </c>
      <c r="I21" s="1">
        <f t="shared" si="2"/>
        <v>576565.5411716341</v>
      </c>
    </row>
    <row r="22" spans="1:9" x14ac:dyDescent="0.25">
      <c r="A22">
        <v>20</v>
      </c>
      <c r="B22" s="1">
        <f>$B$2*(1+Projet!$C$22)^A22</f>
        <v>610095.01997398352</v>
      </c>
      <c r="C22" s="1" cm="1">
        <f t="array" ref="C22">IF(A22&gt;25,0,INDEX(Amortissement_annuel_prêt!$B$9:$B$33,A22))</f>
        <v>6.5028871176764369E-11</v>
      </c>
      <c r="D22" s="1">
        <f>Projet!$C$20*(1+Projet!$C$24)^(A22-1)</f>
        <v>1812.1634256652974</v>
      </c>
      <c r="E22" s="1">
        <f>Projet!$C$21*(1+Projet!$C$23)^(A22-1)</f>
        <v>1812.1634256652974</v>
      </c>
      <c r="F22" s="1" cm="1">
        <f t="array" ref="F22">IF(A22&gt;25,0,INDEX(Amortissement_annuel_prêt!$F$9:$F$33,A22))</f>
        <v>28035.314998120364</v>
      </c>
      <c r="G22" s="1">
        <f t="shared" si="0"/>
        <v>3624.3268513305948</v>
      </c>
      <c r="H22" s="1">
        <f t="shared" si="1"/>
        <v>31659.64184945096</v>
      </c>
      <c r="I22" s="1">
        <f t="shared" si="2"/>
        <v>610095.01997398341</v>
      </c>
    </row>
    <row r="23" spans="1:9" x14ac:dyDescent="0.25">
      <c r="A23">
        <v>21</v>
      </c>
      <c r="B23" s="1">
        <f>$B$2*(1+Projet!$C$22)^A23</f>
        <v>616195.9701737233</v>
      </c>
      <c r="C23" s="1" cm="1">
        <f t="array" ref="C23">IF(A23&gt;25,0,INDEX(Amortissement_annuel_prêt!$B$9:$B$33,A23))</f>
        <v>6.5028871176764369E-11</v>
      </c>
      <c r="D23" s="1">
        <f>Projet!$C$20*(1+Projet!$C$24)^(A23-1)</f>
        <v>1830.2850599219505</v>
      </c>
      <c r="E23" s="1">
        <f>Projet!$C$21*(1+Projet!$C$23)^(A23-1)</f>
        <v>1830.2850599219505</v>
      </c>
      <c r="F23" s="1" cm="1">
        <f t="array" ref="F23">IF(A23&gt;25,0,INDEX(Amortissement_annuel_prêt!$F$9:$F$33,A23))</f>
        <v>2.2760104911867529E-12</v>
      </c>
      <c r="G23" s="1">
        <f t="shared" si="0"/>
        <v>3660.570119843901</v>
      </c>
      <c r="H23" s="1">
        <f t="shared" si="1"/>
        <v>3660.5701198439033</v>
      </c>
      <c r="I23" s="1">
        <f t="shared" si="2"/>
        <v>616195.97017372318</v>
      </c>
    </row>
    <row r="24" spans="1:9" x14ac:dyDescent="0.25">
      <c r="A24">
        <v>22</v>
      </c>
      <c r="B24" s="1">
        <f>$B$2*(1+Projet!$C$22)^A24</f>
        <v>622357.92987546069</v>
      </c>
      <c r="C24" s="1" cm="1">
        <f t="array" ref="C24">IF(A24&gt;25,0,INDEX(Amortissement_annuel_prêt!$B$9:$B$33,A24))</f>
        <v>6.5028871176764369E-11</v>
      </c>
      <c r="D24" s="1">
        <f>Projet!$C$20*(1+Projet!$C$24)^(A24-1)</f>
        <v>1848.58791052117</v>
      </c>
      <c r="E24" s="1">
        <f>Projet!$C$21*(1+Projet!$C$23)^(A24-1)</f>
        <v>1848.58791052117</v>
      </c>
      <c r="F24" s="1" cm="1">
        <f t="array" ref="F24">IF(A24&gt;25,0,INDEX(Amortissement_annuel_prêt!$F$9:$F$33,A24))</f>
        <v>2.2760104911867529E-12</v>
      </c>
      <c r="G24" s="1">
        <f t="shared" si="0"/>
        <v>3697.17582104234</v>
      </c>
      <c r="H24" s="1">
        <f t="shared" si="1"/>
        <v>3697.1758210423422</v>
      </c>
      <c r="I24" s="1">
        <f t="shared" si="2"/>
        <v>622357.92987546057</v>
      </c>
    </row>
    <row r="25" spans="1:9" x14ac:dyDescent="0.25">
      <c r="A25">
        <v>23</v>
      </c>
      <c r="B25" s="1">
        <f>$B$2*(1+Projet!$C$22)^A25</f>
        <v>628581.50917421514</v>
      </c>
      <c r="C25" s="1" cm="1">
        <f t="array" ref="C25">IF(A25&gt;25,0,INDEX(Amortissement_annuel_prêt!$B$9:$B$33,A25))</f>
        <v>6.5028871176764369E-11</v>
      </c>
      <c r="D25" s="1">
        <f>Projet!$C$20*(1+Projet!$C$24)^(A25-1)</f>
        <v>1867.073789626382</v>
      </c>
      <c r="E25" s="1">
        <f>Projet!$C$21*(1+Projet!$C$23)^(A25-1)</f>
        <v>1867.073789626382</v>
      </c>
      <c r="F25" s="1" cm="1">
        <f t="array" ref="F25">IF(A25&gt;25,0,INDEX(Amortissement_annuel_prêt!$F$9:$F$33,A25))</f>
        <v>2.2760104911867529E-12</v>
      </c>
      <c r="G25" s="1">
        <f t="shared" si="0"/>
        <v>3734.147579252764</v>
      </c>
      <c r="H25" s="1">
        <f t="shared" si="1"/>
        <v>3734.1475792527663</v>
      </c>
      <c r="I25" s="1">
        <f t="shared" si="2"/>
        <v>628581.50917421503</v>
      </c>
    </row>
    <row r="26" spans="1:9" x14ac:dyDescent="0.25">
      <c r="A26">
        <v>24</v>
      </c>
      <c r="B26" s="1">
        <f>$B$2*(1+Projet!$C$22)^A26</f>
        <v>634867.32426595746</v>
      </c>
      <c r="C26" s="1" cm="1">
        <f t="array" ref="C26">IF(A26&gt;25,0,INDEX(Amortissement_annuel_prêt!$B$9:$B$33,A26))</f>
        <v>6.5028871176764369E-11</v>
      </c>
      <c r="D26" s="1">
        <f>Projet!$C$20*(1+Projet!$C$24)^(A26-1)</f>
        <v>1885.7445275226455</v>
      </c>
      <c r="E26" s="1">
        <f>Projet!$C$21*(1+Projet!$C$23)^(A26-1)</f>
        <v>1885.7445275226455</v>
      </c>
      <c r="F26" s="1" cm="1">
        <f t="array" ref="F26">IF(A26&gt;25,0,INDEX(Amortissement_annuel_prêt!$F$9:$F$33,A26))</f>
        <v>2.2760104911867529E-12</v>
      </c>
      <c r="G26" s="1">
        <f t="shared" si="0"/>
        <v>3771.489055045291</v>
      </c>
      <c r="H26" s="1">
        <f t="shared" si="1"/>
        <v>3771.4890550452933</v>
      </c>
      <c r="I26" s="1">
        <f t="shared" si="2"/>
        <v>634867.32426595734</v>
      </c>
    </row>
    <row r="27" spans="1:9" x14ac:dyDescent="0.25">
      <c r="A27">
        <v>25</v>
      </c>
      <c r="B27" s="1">
        <f>$B$2*(1+Projet!$C$22)^A27</f>
        <v>641215.99750861712</v>
      </c>
      <c r="C27" s="1" cm="1">
        <f t="array" ref="C27">IF(A27&gt;25,0,INDEX(Amortissement_annuel_prêt!$B$9:$B$33,A27))</f>
        <v>6.5028871176764369E-11</v>
      </c>
      <c r="D27" s="1">
        <f>Projet!$C$20*(1+Projet!$C$24)^(A27-1)</f>
        <v>1904.6019727978726</v>
      </c>
      <c r="E27" s="1">
        <f>Projet!$C$21*(1+Projet!$C$23)^(A27-1)</f>
        <v>1904.6019727978726</v>
      </c>
      <c r="F27" s="1" cm="1">
        <f t="array" ref="F27">IF(A27&gt;25,0,INDEX(Amortissement_annuel_prêt!$F$9:$F$33,A27))</f>
        <v>2.2760104911867529E-12</v>
      </c>
      <c r="G27" s="1">
        <f t="shared" si="0"/>
        <v>3809.2039455957452</v>
      </c>
      <c r="H27" s="1">
        <f t="shared" si="1"/>
        <v>3809.2039455957474</v>
      </c>
      <c r="I27" s="1">
        <f t="shared" si="2"/>
        <v>641215.997508617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6484-3262-4AB2-BCDC-3A022FE24512}">
  <dimension ref="A1:AB29"/>
  <sheetViews>
    <sheetView workbookViewId="0">
      <selection activeCell="U39" sqref="U39"/>
    </sheetView>
  </sheetViews>
  <sheetFormatPr baseColWidth="10" defaultRowHeight="15" x14ac:dyDescent="0.25"/>
  <cols>
    <col min="1" max="1" width="14.28515625" customWidth="1"/>
    <col min="2" max="2" width="24.5703125" customWidth="1"/>
    <col min="3" max="3" width="19.85546875" customWidth="1"/>
    <col min="4" max="4" width="29.42578125" customWidth="1"/>
    <col min="5" max="5" width="22.140625" customWidth="1"/>
    <col min="6" max="6" width="6.5703125" customWidth="1"/>
    <col min="7" max="7" width="18.7109375" bestFit="1" customWidth="1"/>
    <col min="8" max="8" width="21.42578125" bestFit="1" customWidth="1"/>
    <col min="9" max="9" width="10.85546875" bestFit="1" customWidth="1"/>
    <col min="10" max="10" width="22.28515625" bestFit="1" customWidth="1"/>
    <col min="11" max="11" width="22.42578125" bestFit="1" customWidth="1"/>
    <col min="12" max="12" width="21.140625" customWidth="1"/>
    <col min="13" max="13" width="23.5703125" customWidth="1"/>
    <col min="14" max="14" width="22.42578125" customWidth="1"/>
    <col min="15" max="15" width="13.28515625" customWidth="1"/>
    <col min="16" max="16" width="23.7109375" customWidth="1"/>
    <col min="17" max="17" width="19.7109375" customWidth="1"/>
    <col min="19" max="19" width="24.5703125" customWidth="1"/>
    <col min="20" max="21" width="24" customWidth="1"/>
    <col min="22" max="22" width="25.28515625" customWidth="1"/>
    <col min="23" max="23" width="25.140625" customWidth="1"/>
    <col min="24" max="24" width="20.140625" customWidth="1"/>
  </cols>
  <sheetData>
    <row r="1" spans="1:23" x14ac:dyDescent="0.25">
      <c r="A1" t="s">
        <v>45</v>
      </c>
      <c r="B1" s="1">
        <v>0</v>
      </c>
    </row>
    <row r="2" spans="1:23" x14ac:dyDescent="0.25">
      <c r="B2" s="20" t="s">
        <v>54</v>
      </c>
      <c r="C2" s="20"/>
      <c r="D2" s="20"/>
      <c r="E2" s="20"/>
      <c r="F2" s="20"/>
      <c r="G2" s="20"/>
      <c r="H2" s="20"/>
      <c r="I2" s="20"/>
      <c r="J2" s="20"/>
      <c r="K2" s="20"/>
      <c r="L2" s="12"/>
      <c r="M2" s="12"/>
      <c r="N2" s="12"/>
      <c r="O2" s="11" t="s">
        <v>56</v>
      </c>
      <c r="P2" s="19"/>
      <c r="Q2" s="19"/>
      <c r="R2" s="19"/>
      <c r="S2" s="19"/>
      <c r="T2" s="19"/>
      <c r="U2" s="9"/>
      <c r="V2" s="9"/>
      <c r="W2" s="10" t="s">
        <v>55</v>
      </c>
    </row>
    <row r="3" spans="1:23" x14ac:dyDescent="0.25">
      <c r="A3" t="s">
        <v>33</v>
      </c>
      <c r="B3" t="s">
        <v>39</v>
      </c>
      <c r="C3" t="s">
        <v>41</v>
      </c>
      <c r="D3" t="s">
        <v>42</v>
      </c>
      <c r="E3" t="s">
        <v>43</v>
      </c>
      <c r="F3" t="s">
        <v>44</v>
      </c>
      <c r="G3" t="s">
        <v>57</v>
      </c>
      <c r="H3" t="s">
        <v>58</v>
      </c>
      <c r="I3" t="s">
        <v>50</v>
      </c>
      <c r="J3" t="s">
        <v>51</v>
      </c>
      <c r="K3" t="s">
        <v>52</v>
      </c>
      <c r="L3" t="s">
        <v>77</v>
      </c>
      <c r="M3" t="s">
        <v>78</v>
      </c>
      <c r="N3" t="s">
        <v>59</v>
      </c>
      <c r="O3" t="s">
        <v>46</v>
      </c>
      <c r="P3" t="s">
        <v>67</v>
      </c>
      <c r="Q3" t="s">
        <v>49</v>
      </c>
      <c r="R3" t="s">
        <v>50</v>
      </c>
      <c r="S3" t="s">
        <v>51</v>
      </c>
      <c r="T3" t="s">
        <v>52</v>
      </c>
      <c r="U3" t="s">
        <v>79</v>
      </c>
      <c r="V3" t="s">
        <v>80</v>
      </c>
      <c r="W3" t="s">
        <v>53</v>
      </c>
    </row>
    <row r="4" spans="1:23" x14ac:dyDescent="0.25">
      <c r="A4" s="5">
        <f>FLux_Achat_RP!A3</f>
        <v>1</v>
      </c>
      <c r="B4" s="6">
        <f>FLux_Achat_RP!I3</f>
        <v>116638.93089228962</v>
      </c>
      <c r="C4" s="6">
        <f>B4-$B$1</f>
        <v>116638.93089228962</v>
      </c>
      <c r="D4" s="6">
        <f>Projet!$C$14+FLux_Achat_RP!H3</f>
        <v>131606.96127631358</v>
      </c>
      <c r="E4" s="6">
        <f>C4-D4</f>
        <v>-14968.030384023965</v>
      </c>
      <c r="F4" t="str">
        <f>IF(E4&gt;=0,A4,"")</f>
        <v/>
      </c>
      <c r="G4" s="6">
        <f>MAX(Projet!$C$3*12-FLux_Achat_RP!H3,0)</f>
        <v>9193.0387236864117</v>
      </c>
      <c r="H4" s="6">
        <f>Projet!$C$2-Projet!$C$14</f>
        <v>100000</v>
      </c>
      <c r="I4" s="6">
        <f>H4*Projet!$C$28</f>
        <v>5000</v>
      </c>
      <c r="J4" s="6">
        <f>H4+I4</f>
        <v>105000</v>
      </c>
      <c r="K4" s="6">
        <f>J4+G4</f>
        <v>114193.03872368642</v>
      </c>
      <c r="L4" s="6">
        <f>MAX(K4-(Projet!$C$2-Projet!$C$14+SUM($G$4:G4)),0)*Projet!$C$29</f>
        <v>1570</v>
      </c>
      <c r="M4" s="6">
        <f>K4-L4</f>
        <v>112623.03872368642</v>
      </c>
      <c r="N4" s="6">
        <f>B4+M4</f>
        <v>229261.96961597604</v>
      </c>
      <c r="O4" s="1">
        <f>Projet!$C$26*12*(1+Projet!$C$27)^(A4-1)</f>
        <v>19200</v>
      </c>
      <c r="P4" s="1">
        <f>MAX(Projet!$C$3*12-O4,0)</f>
        <v>21600</v>
      </c>
      <c r="Q4" s="1">
        <f>Projet!$C$2</f>
        <v>200000</v>
      </c>
      <c r="R4" s="1">
        <f>Q4*Projet!$C$28</f>
        <v>10000</v>
      </c>
      <c r="S4" s="1">
        <f>Q4+R4</f>
        <v>210000</v>
      </c>
      <c r="T4" s="1">
        <f>S4+P4</f>
        <v>231600</v>
      </c>
      <c r="U4" s="1">
        <f>MAX(T4-(Projet!$C$2+SUM($P$4:P4)),0)*Projet!$C$29</f>
        <v>3140</v>
      </c>
      <c r="V4" s="1">
        <f>T4-U4</f>
        <v>228460</v>
      </c>
      <c r="W4" s="1">
        <f>N4-V4</f>
        <v>801.96961597603513</v>
      </c>
    </row>
    <row r="5" spans="1:23" x14ac:dyDescent="0.25">
      <c r="A5" s="5">
        <f>FLux_Achat_RP!A4</f>
        <v>2</v>
      </c>
      <c r="B5" s="6">
        <f>FLux_Achat_RP!I4</f>
        <v>136342.74269531638</v>
      </c>
      <c r="C5" s="6">
        <f t="shared" ref="C5:C28" si="0">B5-$B$1</f>
        <v>136342.74269531638</v>
      </c>
      <c r="D5" s="6">
        <f>D4+FLux_Achat_RP!H4</f>
        <v>163222.35294216702</v>
      </c>
      <c r="E5" s="6">
        <f t="shared" ref="E5:E28" si="1">C5-D5</f>
        <v>-26879.610246850643</v>
      </c>
      <c r="F5" t="str">
        <f t="shared" ref="F5:F28" si="2">IF(E5&gt;=0,A5,"")</f>
        <v/>
      </c>
      <c r="G5" s="6">
        <f>MAX(Projet!$C$3*12-FLux_Achat_RP!H4,0)</f>
        <v>9184.608334146571</v>
      </c>
      <c r="H5" s="6">
        <f>K4</f>
        <v>114193.03872368642</v>
      </c>
      <c r="I5" s="6">
        <f>H5*Projet!$C$28</f>
        <v>5709.6519361843211</v>
      </c>
      <c r="J5" s="6">
        <f t="shared" ref="J5:J28" si="3">H5+I5</f>
        <v>119902.69065987074</v>
      </c>
      <c r="K5" s="6">
        <f t="shared" ref="K5:K28" si="4">J5+G5</f>
        <v>129087.29899401731</v>
      </c>
      <c r="L5" s="6">
        <f>MAX(K5-(Projet!$C$2-Projet!$C$14+SUM($G$4:G5)),0)*Projet!$C$29</f>
        <v>3362.8307079618821</v>
      </c>
      <c r="M5" s="6">
        <f t="shared" ref="M5:M28" si="5">K5-L5</f>
        <v>125724.46828605543</v>
      </c>
      <c r="N5" s="6">
        <f t="shared" ref="N5:N28" si="6">B5+M5</f>
        <v>262067.21098137181</v>
      </c>
      <c r="O5" s="1">
        <f>Projet!$C$26*12*(1+Projet!$C$27)^(A5-1)</f>
        <v>19392</v>
      </c>
      <c r="P5" s="1">
        <f>MAX(Projet!$C$3*12-O5,0)</f>
        <v>21408</v>
      </c>
      <c r="Q5" s="1">
        <f>T4</f>
        <v>231600</v>
      </c>
      <c r="R5" s="1">
        <f>Q5*Projet!$C$28</f>
        <v>11580</v>
      </c>
      <c r="S5" s="1">
        <f>Q5+R5</f>
        <v>243180</v>
      </c>
      <c r="T5" s="1">
        <f>S5+P5</f>
        <v>264588</v>
      </c>
      <c r="U5" s="1">
        <f>MAX(T5-(Projet!$C$2+SUM($P$4:P5)),0)*Projet!$C$29</f>
        <v>6776.12</v>
      </c>
      <c r="V5" s="1">
        <f>T5-U5</f>
        <v>257811.88</v>
      </c>
      <c r="W5" s="1">
        <f t="shared" ref="W5:W28" si="7">N5-V5</f>
        <v>4255.3309813718079</v>
      </c>
    </row>
    <row r="6" spans="1:23" x14ac:dyDescent="0.25">
      <c r="A6" s="5">
        <f>FLux_Achat_RP!A5</f>
        <v>3</v>
      </c>
      <c r="B6" s="6">
        <f>FLux_Achat_RP!I5</f>
        <v>156618.24593322043</v>
      </c>
      <c r="C6" s="6">
        <f t="shared" si="0"/>
        <v>156618.24593322043</v>
      </c>
      <c r="D6" s="6">
        <f>D5+FLux_Achat_RP!H5</f>
        <v>194845.70783223998</v>
      </c>
      <c r="E6" s="6">
        <f t="shared" si="1"/>
        <v>-38227.461899019545</v>
      </c>
      <c r="F6" t="str">
        <f t="shared" si="2"/>
        <v/>
      </c>
      <c r="G6" s="6">
        <f>MAX(Projet!$C$3*12-FLux_Achat_RP!H5,0)</f>
        <v>9176.6451099270344</v>
      </c>
      <c r="H6" s="6">
        <f t="shared" ref="H6:H28" si="8">K5</f>
        <v>129087.29899401731</v>
      </c>
      <c r="I6" s="6">
        <f>H6*Projet!$C$28</f>
        <v>6454.3649497008664</v>
      </c>
      <c r="J6" s="6">
        <f t="shared" si="3"/>
        <v>135541.66394371819</v>
      </c>
      <c r="K6" s="6">
        <f t="shared" si="4"/>
        <v>144718.30905364524</v>
      </c>
      <c r="L6" s="6">
        <f>MAX(K6-(Projet!$C$2-Projet!$C$14+SUM($G$4:G6)),0)*Projet!$C$29</f>
        <v>5389.501302167957</v>
      </c>
      <c r="M6" s="6">
        <f t="shared" si="5"/>
        <v>139328.80775147729</v>
      </c>
      <c r="N6" s="6">
        <f t="shared" si="6"/>
        <v>295947.05368469772</v>
      </c>
      <c r="O6" s="1">
        <f>Projet!$C$26*12*(1+Projet!$C$27)^(A6-1)</f>
        <v>19585.920000000002</v>
      </c>
      <c r="P6" s="1">
        <f>MAX(Projet!$C$3*12-O6,0)</f>
        <v>21214.079999999998</v>
      </c>
      <c r="Q6" s="1">
        <f t="shared" ref="Q6:Q28" si="9">T5</f>
        <v>264588</v>
      </c>
      <c r="R6" s="1">
        <f>Q6*Projet!$C$28</f>
        <v>13229.400000000001</v>
      </c>
      <c r="S6" s="1">
        <f>Q6+R6</f>
        <v>277817.40000000002</v>
      </c>
      <c r="T6" s="1">
        <f>S6+P6</f>
        <v>299031.48000000004</v>
      </c>
      <c r="U6" s="1">
        <f>MAX(T6-(Projet!$C$2+SUM($P$4:P6)),0)*Projet!$C$29</f>
        <v>10930.151600000007</v>
      </c>
      <c r="V6" s="1">
        <f>T6-U6</f>
        <v>288101.32840000006</v>
      </c>
      <c r="W6" s="1">
        <f t="shared" si="7"/>
        <v>7845.7252846976626</v>
      </c>
    </row>
    <row r="7" spans="1:23" x14ac:dyDescent="0.25">
      <c r="A7" s="5">
        <f>FLux_Achat_RP!A6</f>
        <v>4</v>
      </c>
      <c r="B7" s="6">
        <f>FLux_Achat_RP!I6</f>
        <v>177484.48279724218</v>
      </c>
      <c r="C7" s="6">
        <f t="shared" si="0"/>
        <v>177484.48279724218</v>
      </c>
      <c r="D7" s="6">
        <f>D6+FLux_Achat_RP!H6</f>
        <v>226476.53449547934</v>
      </c>
      <c r="E7" s="6">
        <f t="shared" si="1"/>
        <v>-48992.051698237163</v>
      </c>
      <c r="F7" t="str">
        <f t="shared" si="2"/>
        <v/>
      </c>
      <c r="G7" s="6">
        <f>MAX(Projet!$C$3*12-FLux_Achat_RP!H6,0)</f>
        <v>9169.1733367606357</v>
      </c>
      <c r="H7" s="6">
        <f t="shared" si="8"/>
        <v>144718.30905364524</v>
      </c>
      <c r="I7" s="6">
        <f>H7*Projet!$C$28</f>
        <v>7235.9154526822622</v>
      </c>
      <c r="J7" s="6">
        <f t="shared" si="3"/>
        <v>151954.2245063275</v>
      </c>
      <c r="K7" s="6">
        <f t="shared" si="4"/>
        <v>161123.39784308814</v>
      </c>
      <c r="L7" s="6">
        <f>MAX(K7-(Projet!$C$2-Projet!$C$14+SUM($G$4:G7)),0)*Projet!$C$29</f>
        <v>7661.5787543101887</v>
      </c>
      <c r="M7" s="6">
        <f t="shared" si="5"/>
        <v>153461.81908877796</v>
      </c>
      <c r="N7" s="6">
        <f t="shared" si="6"/>
        <v>330946.30188602011</v>
      </c>
      <c r="O7" s="1">
        <f>Projet!$C$26*12*(1+Projet!$C$27)^(A7-1)</f>
        <v>19781.779199999997</v>
      </c>
      <c r="P7" s="1">
        <f>MAX(Projet!$C$3*12-O7,0)</f>
        <v>21018.220800000003</v>
      </c>
      <c r="Q7" s="1">
        <f t="shared" si="9"/>
        <v>299031.48000000004</v>
      </c>
      <c r="R7" s="1">
        <f>Q7*Projet!$C$28</f>
        <v>14951.574000000002</v>
      </c>
      <c r="S7" s="1">
        <f>Q7+R7</f>
        <v>313983.05400000006</v>
      </c>
      <c r="T7" s="1">
        <f>S7+P7</f>
        <v>335001.27480000007</v>
      </c>
      <c r="U7" s="1">
        <f>MAX(T7-(Projet!$C$2+SUM($P$4:P7)),0)*Projet!$C$29</f>
        <v>15624.945836000034</v>
      </c>
      <c r="V7" s="1">
        <f>T7-U7</f>
        <v>319376.32896400004</v>
      </c>
      <c r="W7" s="1">
        <f t="shared" si="7"/>
        <v>11569.972922020068</v>
      </c>
    </row>
    <row r="8" spans="1:23" x14ac:dyDescent="0.25">
      <c r="A8" s="5">
        <f>FLux_Achat_RP!A7</f>
        <v>5</v>
      </c>
      <c r="B8" s="6">
        <f>FLux_Achat_RP!I7</f>
        <v>198961.15984002996</v>
      </c>
      <c r="C8" s="6">
        <f t="shared" si="0"/>
        <v>198961.15984002996</v>
      </c>
      <c r="D8" s="6">
        <f>D7+FLux_Achat_RP!H7</f>
        <v>258114.31625462873</v>
      </c>
      <c r="E8" s="6">
        <f t="shared" si="1"/>
        <v>-59153.15641459878</v>
      </c>
      <c r="F8" t="str">
        <f t="shared" si="2"/>
        <v/>
      </c>
      <c r="G8" s="6">
        <f>MAX(Projet!$C$3*12-FLux_Achat_RP!H7,0)</f>
        <v>9162.218240850616</v>
      </c>
      <c r="H8" s="6">
        <f t="shared" si="8"/>
        <v>161123.39784308814</v>
      </c>
      <c r="I8" s="6">
        <f>H8*Projet!$C$28</f>
        <v>8056.1698921544075</v>
      </c>
      <c r="J8" s="6">
        <f t="shared" si="3"/>
        <v>169179.56773524254</v>
      </c>
      <c r="K8" s="6">
        <f t="shared" si="4"/>
        <v>178341.78597609315</v>
      </c>
      <c r="L8" s="6">
        <f>MAX(K8-(Projet!$C$2-Projet!$C$14+SUM($G$4:G8)),0)*Projet!$C$29</f>
        <v>10191.216100446671</v>
      </c>
      <c r="M8" s="6">
        <f t="shared" si="5"/>
        <v>168150.56987564647</v>
      </c>
      <c r="N8" s="6">
        <f t="shared" si="6"/>
        <v>367111.7297156764</v>
      </c>
      <c r="O8" s="1">
        <f>Projet!$C$26*12*(1+Projet!$C$27)^(A8-1)</f>
        <v>19979.596991999999</v>
      </c>
      <c r="P8" s="1">
        <f>MAX(Projet!$C$3*12-O8,0)</f>
        <v>20820.403008000001</v>
      </c>
      <c r="Q8" s="1">
        <f t="shared" si="9"/>
        <v>335001.27480000007</v>
      </c>
      <c r="R8" s="1">
        <f>Q8*Projet!$C$28</f>
        <v>16750.063740000005</v>
      </c>
      <c r="S8" s="1">
        <f>Q8+R8</f>
        <v>351751.33854000008</v>
      </c>
      <c r="T8" s="1">
        <f>S8+P8</f>
        <v>372571.74154800008</v>
      </c>
      <c r="U8" s="1">
        <f>MAX(T8-(Projet!$C$2+SUM($P$4:P8)),0)*Projet!$C$29</f>
        <v>20884.465850360037</v>
      </c>
      <c r="V8" s="1">
        <f>T8-U8</f>
        <v>351687.27569764003</v>
      </c>
      <c r="W8" s="1">
        <f t="shared" si="7"/>
        <v>15424.454018036369</v>
      </c>
    </row>
    <row r="9" spans="1:23" x14ac:dyDescent="0.25">
      <c r="A9" s="5">
        <f>FLux_Achat_RP!A8</f>
        <v>6</v>
      </c>
      <c r="B9" s="6">
        <f>FLux_Achat_RP!I8</f>
        <v>221068.67147583928</v>
      </c>
      <c r="C9" s="6">
        <f t="shared" si="0"/>
        <v>221068.67147583928</v>
      </c>
      <c r="D9" s="6">
        <f>D8+FLux_Achat_RP!H8</f>
        <v>289758.51023154147</v>
      </c>
      <c r="E9" s="6">
        <f t="shared" si="1"/>
        <v>-68689.838755702192</v>
      </c>
      <c r="F9" t="str">
        <f t="shared" si="2"/>
        <v/>
      </c>
      <c r="G9" s="6">
        <f>MAX(Projet!$C$3*12-FLux_Achat_RP!H8,0)</f>
        <v>9155.8060230872397</v>
      </c>
      <c r="H9" s="6">
        <f t="shared" si="8"/>
        <v>178341.78597609315</v>
      </c>
      <c r="I9" s="6">
        <f>H9*Projet!$C$28</f>
        <v>8917.089298804658</v>
      </c>
      <c r="J9" s="6">
        <f t="shared" si="3"/>
        <v>187258.87527489781</v>
      </c>
      <c r="K9" s="6">
        <f t="shared" si="4"/>
        <v>196414.68129798505</v>
      </c>
      <c r="L9" s="6">
        <f>MAX(K9-(Projet!$C$2-Projet!$C$14+SUM($G$4:G9)),0)*Projet!$C$29</f>
        <v>12991.182140271336</v>
      </c>
      <c r="M9" s="6">
        <f t="shared" si="5"/>
        <v>183423.49915771373</v>
      </c>
      <c r="N9" s="6">
        <f t="shared" si="6"/>
        <v>404492.170633553</v>
      </c>
      <c r="O9" s="1">
        <f>Projet!$C$26*12*(1+Projet!$C$27)^(A9-1)</f>
        <v>20179.392961919999</v>
      </c>
      <c r="P9" s="1">
        <f>MAX(Projet!$C$3*12-O9,0)</f>
        <v>20620.607038080001</v>
      </c>
      <c r="Q9" s="1">
        <f t="shared" si="9"/>
        <v>372571.74154800008</v>
      </c>
      <c r="R9" s="1">
        <f>Q9*Projet!$C$28</f>
        <v>18628.587077400003</v>
      </c>
      <c r="S9" s="1">
        <f>Q9+R9</f>
        <v>391200.32862540009</v>
      </c>
      <c r="T9" s="1">
        <f>S9+P9</f>
        <v>411820.93566348008</v>
      </c>
      <c r="U9" s="1">
        <f>MAX(T9-(Projet!$C$2+SUM($P$4:P9)),0)*Projet!$C$29</f>
        <v>26733.84219266364</v>
      </c>
      <c r="V9" s="1">
        <f>T9-U9</f>
        <v>385087.09347081644</v>
      </c>
      <c r="W9" s="1">
        <f t="shared" si="7"/>
        <v>19405.077162736561</v>
      </c>
    </row>
    <row r="10" spans="1:23" x14ac:dyDescent="0.25">
      <c r="A10" s="5">
        <f>FLux_Achat_RP!A9</f>
        <v>7</v>
      </c>
      <c r="B10" s="6">
        <f>FLux_Achat_RP!I9</f>
        <v>243828.12431526836</v>
      </c>
      <c r="C10" s="6">
        <f t="shared" si="0"/>
        <v>243828.12431526836</v>
      </c>
      <c r="D10" s="6">
        <f>D9+FLux_Achat_RP!H9</f>
        <v>321408.54633705231</v>
      </c>
      <c r="E10" s="6">
        <f t="shared" si="1"/>
        <v>-77580.422021783947</v>
      </c>
      <c r="F10" t="str">
        <f t="shared" si="2"/>
        <v/>
      </c>
      <c r="G10" s="6">
        <f>MAX(Projet!$C$3*12-FLux_Achat_RP!H9,0)</f>
        <v>9149.963894489174</v>
      </c>
      <c r="H10" s="6">
        <f t="shared" si="8"/>
        <v>196414.68129798505</v>
      </c>
      <c r="I10" s="6">
        <f>H10*Projet!$C$28</f>
        <v>9820.7340648992522</v>
      </c>
      <c r="J10" s="6">
        <f t="shared" si="3"/>
        <v>206235.41536288429</v>
      </c>
      <c r="K10" s="6">
        <f t="shared" si="4"/>
        <v>215385.37925737345</v>
      </c>
      <c r="L10" s="6">
        <f>MAX(K10-(Projet!$C$2-Projet!$C$14+SUM($G$4:G10)),0)*Projet!$C$29</f>
        <v>16074.892636649689</v>
      </c>
      <c r="M10" s="6">
        <f t="shared" si="5"/>
        <v>199310.48662072376</v>
      </c>
      <c r="N10" s="6">
        <f t="shared" si="6"/>
        <v>443138.6109359921</v>
      </c>
      <c r="O10" s="1">
        <f>Projet!$C$26*12*(1+Projet!$C$27)^(A10-1)</f>
        <v>20381.186891539204</v>
      </c>
      <c r="P10" s="1">
        <f>MAX(Projet!$C$3*12-O10,0)</f>
        <v>20418.813108460796</v>
      </c>
      <c r="Q10" s="1">
        <f t="shared" si="9"/>
        <v>411820.93566348008</v>
      </c>
      <c r="R10" s="1">
        <f>Q10*Projet!$C$28</f>
        <v>20591.046783174006</v>
      </c>
      <c r="S10" s="1">
        <f>Q10+R10</f>
        <v>432411.98244665406</v>
      </c>
      <c r="T10" s="1">
        <f>S10+P10</f>
        <v>452830.79555511486</v>
      </c>
      <c r="U10" s="1">
        <f>MAX(T10-(Projet!$C$2+SUM($P$4:P10)),0)*Projet!$C$29</f>
        <v>33199.430882580251</v>
      </c>
      <c r="V10" s="1">
        <f>T10-U10</f>
        <v>419631.36467253463</v>
      </c>
      <c r="W10" s="1">
        <f t="shared" si="7"/>
        <v>23507.246263457462</v>
      </c>
    </row>
    <row r="11" spans="1:23" x14ac:dyDescent="0.25">
      <c r="A11" s="5">
        <f>FLux_Achat_RP!A10</f>
        <v>8</v>
      </c>
      <c r="B11" s="6">
        <f>FLux_Achat_RP!I10</f>
        <v>267261.36236420576</v>
      </c>
      <c r="C11" s="6">
        <f t="shared" si="0"/>
        <v>267261.36236420576</v>
      </c>
      <c r="D11" s="6">
        <f>D10+FLux_Achat_RP!H10</f>
        <v>353063.82622413925</v>
      </c>
      <c r="E11" s="6">
        <f t="shared" si="1"/>
        <v>-85802.463859933487</v>
      </c>
      <c r="F11" t="str">
        <f t="shared" si="2"/>
        <v/>
      </c>
      <c r="G11" s="6">
        <f>MAX(Projet!$C$3*12-FLux_Achat_RP!H10,0)</f>
        <v>9144.7201129130626</v>
      </c>
      <c r="H11" s="6">
        <f t="shared" si="8"/>
        <v>215385.37925737345</v>
      </c>
      <c r="I11" s="6">
        <f>H11*Projet!$C$28</f>
        <v>10769.268962868673</v>
      </c>
      <c r="J11" s="6">
        <f t="shared" si="3"/>
        <v>226154.64822024212</v>
      </c>
      <c r="K11" s="6">
        <f t="shared" si="4"/>
        <v>235299.36833315517</v>
      </c>
      <c r="L11" s="6">
        <f>MAX(K11-(Projet!$C$2-Projet!$C$14+SUM($G$4:G11)),0)*Projet!$C$29</f>
        <v>19456.443090990448</v>
      </c>
      <c r="M11" s="6">
        <f t="shared" si="5"/>
        <v>215842.92524216473</v>
      </c>
      <c r="N11" s="6">
        <f t="shared" si="6"/>
        <v>483104.28760637052</v>
      </c>
      <c r="O11" s="1">
        <f>Projet!$C$26*12*(1+Projet!$C$27)^(A11-1)</f>
        <v>20584.99876045459</v>
      </c>
      <c r="P11" s="1">
        <f>MAX(Projet!$C$3*12-O11,0)</f>
        <v>20215.00123954541</v>
      </c>
      <c r="Q11" s="1">
        <f t="shared" si="9"/>
        <v>452830.79555511486</v>
      </c>
      <c r="R11" s="1">
        <f>Q11*Projet!$C$28</f>
        <v>22641.539777755745</v>
      </c>
      <c r="S11" s="1">
        <f>Q11+R11</f>
        <v>475472.3353328706</v>
      </c>
      <c r="T11" s="1">
        <f>S11+P11</f>
        <v>495687.33657241601</v>
      </c>
      <c r="U11" s="1">
        <f>MAX(T11-(Projet!$C$2+SUM($P$4:P11)),0)*Projet!$C$29</f>
        <v>40308.874372795552</v>
      </c>
      <c r="V11" s="1">
        <f>T11-U11</f>
        <v>455378.46219962044</v>
      </c>
      <c r="W11" s="1">
        <f t="shared" si="7"/>
        <v>27725.825406750082</v>
      </c>
    </row>
    <row r="12" spans="1:23" x14ac:dyDescent="0.25">
      <c r="A12" s="5">
        <f>FLux_Achat_RP!A11</f>
        <v>9</v>
      </c>
      <c r="B12" s="6">
        <f>FLux_Achat_RP!I11</f>
        <v>291390.99311770615</v>
      </c>
      <c r="C12" s="6">
        <f t="shared" si="0"/>
        <v>291390.99311770615</v>
      </c>
      <c r="D12" s="6">
        <f>D11+FLux_Achat_RP!H11</f>
        <v>384723.72220306261</v>
      </c>
      <c r="E12" s="6">
        <f t="shared" si="1"/>
        <v>-93332.729085356463</v>
      </c>
      <c r="F12" t="str">
        <f t="shared" si="2"/>
        <v/>
      </c>
      <c r="G12" s="6">
        <f>MAX(Projet!$C$3*12-FLux_Achat_RP!H11,0)</f>
        <v>9140.1040210766078</v>
      </c>
      <c r="H12" s="6">
        <f t="shared" si="8"/>
        <v>235299.36833315517</v>
      </c>
      <c r="I12" s="6">
        <f>H12*Projet!$C$28</f>
        <v>11764.968416657759</v>
      </c>
      <c r="J12" s="6">
        <f t="shared" si="3"/>
        <v>247064.33674981294</v>
      </c>
      <c r="K12" s="6">
        <f t="shared" si="4"/>
        <v>256204.44077088955</v>
      </c>
      <c r="L12" s="6">
        <f>MAX(K12-(Projet!$C$2-Projet!$C$14+SUM($G$4:G12)),0)*Projet!$C$29</f>
        <v>23150.643173820987</v>
      </c>
      <c r="M12" s="6">
        <f t="shared" si="5"/>
        <v>233053.79759706857</v>
      </c>
      <c r="N12" s="6">
        <f t="shared" si="6"/>
        <v>524444.79071477475</v>
      </c>
      <c r="O12" s="1">
        <f>Projet!$C$26*12*(1+Projet!$C$27)^(A12-1)</f>
        <v>20790.848748059139</v>
      </c>
      <c r="P12" s="1">
        <f>MAX(Projet!$C$3*12-O12,0)</f>
        <v>20009.151251940861</v>
      </c>
      <c r="Q12" s="1">
        <f t="shared" si="9"/>
        <v>495687.33657241601</v>
      </c>
      <c r="R12" s="1">
        <f>Q12*Projet!$C$28</f>
        <v>24784.366828620801</v>
      </c>
      <c r="S12" s="1">
        <f>Q12+R12</f>
        <v>520471.70340103679</v>
      </c>
      <c r="T12" s="1">
        <f>S12+P12</f>
        <v>540480.85465297766</v>
      </c>
      <c r="U12" s="1">
        <f>MAX(T12-(Projet!$C$2+SUM($P$4:P12)),0)*Projet!$C$29</f>
        <v>48091.16555698248</v>
      </c>
      <c r="V12" s="1">
        <f>T12-U12</f>
        <v>492389.68909599516</v>
      </c>
      <c r="W12" s="1">
        <f t="shared" si="7"/>
        <v>32055.10161877959</v>
      </c>
    </row>
    <row r="13" spans="1:23" x14ac:dyDescent="0.25">
      <c r="A13" s="5">
        <f>FLux_Achat_RP!A12</f>
        <v>10</v>
      </c>
      <c r="B13" s="6">
        <f>FLux_Achat_RP!I12</f>
        <v>316240.41458061972</v>
      </c>
      <c r="C13" s="6">
        <f t="shared" si="0"/>
        <v>316240.41458061972</v>
      </c>
      <c r="D13" s="6">
        <f>D12+FLux_Achat_RP!H12</f>
        <v>416387.57611712062</v>
      </c>
      <c r="E13" s="6">
        <f t="shared" si="1"/>
        <v>-100147.16153650091</v>
      </c>
      <c r="F13" t="str">
        <f t="shared" si="2"/>
        <v/>
      </c>
      <c r="G13" s="6">
        <f>MAX(Projet!$C$3*12-FLux_Achat_RP!H12,0)</f>
        <v>9136.1460859419931</v>
      </c>
      <c r="H13" s="6">
        <f t="shared" si="8"/>
        <v>256204.44077088955</v>
      </c>
      <c r="I13" s="6">
        <f>H13*Projet!$C$28</f>
        <v>12810.222038544478</v>
      </c>
      <c r="J13" s="6">
        <f t="shared" si="3"/>
        <v>269014.662809434</v>
      </c>
      <c r="K13" s="6">
        <f t="shared" si="4"/>
        <v>278150.80889537599</v>
      </c>
      <c r="L13" s="6">
        <f>MAX(K13-(Projet!$C$2-Projet!$C$14+SUM($G$4:G13)),0)*Projet!$C$29</f>
        <v>27173.052893923945</v>
      </c>
      <c r="M13" s="6">
        <f t="shared" si="5"/>
        <v>250977.75600145204</v>
      </c>
      <c r="N13" s="6">
        <f t="shared" si="6"/>
        <v>567218.17058207176</v>
      </c>
      <c r="O13" s="1">
        <f>Projet!$C$26*12*(1+Projet!$C$27)^(A13-1)</f>
        <v>20998.757235539735</v>
      </c>
      <c r="P13" s="1">
        <f>MAX(Projet!$C$3*12-O13,0)</f>
        <v>19801.242764460265</v>
      </c>
      <c r="Q13" s="1">
        <f t="shared" si="9"/>
        <v>540480.85465297766</v>
      </c>
      <c r="R13" s="1">
        <f>Q13*Projet!$C$28</f>
        <v>27024.042732648886</v>
      </c>
      <c r="S13" s="1">
        <f>Q13+R13</f>
        <v>567504.89738562657</v>
      </c>
      <c r="T13" s="1">
        <f>S13+P13</f>
        <v>587306.14015008684</v>
      </c>
      <c r="U13" s="1">
        <f>MAX(T13-(Projet!$C$2+SUM($P$4:P13)),0)*Projet!$C$29</f>
        <v>56576.714975034236</v>
      </c>
      <c r="V13" s="1">
        <f>T13-U13</f>
        <v>530729.4251750526</v>
      </c>
      <c r="W13" s="1">
        <f t="shared" si="7"/>
        <v>36488.74540701916</v>
      </c>
    </row>
    <row r="14" spans="1:23" x14ac:dyDescent="0.25">
      <c r="A14" s="5">
        <f>FLux_Achat_RP!A13</f>
        <v>11</v>
      </c>
      <c r="B14" s="6">
        <f>FLux_Achat_RP!I13</f>
        <v>341833.84324791707</v>
      </c>
      <c r="C14" s="6">
        <f t="shared" si="0"/>
        <v>341833.84324791707</v>
      </c>
      <c r="D14" s="6">
        <f>D13+FLux_Achat_RP!H13</f>
        <v>448054.69817761274</v>
      </c>
      <c r="E14" s="6">
        <f t="shared" si="1"/>
        <v>-106220.85492969566</v>
      </c>
      <c r="F14" t="str">
        <f t="shared" si="2"/>
        <v/>
      </c>
      <c r="G14" s="6">
        <f>MAX(Projet!$C$3*12-FLux_Achat_RP!H13,0)</f>
        <v>9132.8779395078709</v>
      </c>
      <c r="H14" s="6">
        <f t="shared" si="8"/>
        <v>278150.80889537599</v>
      </c>
      <c r="I14" s="6">
        <f>H14*Projet!$C$28</f>
        <v>13907.5404447688</v>
      </c>
      <c r="J14" s="6">
        <f t="shared" si="3"/>
        <v>292058.34934014478</v>
      </c>
      <c r="K14" s="6">
        <f t="shared" si="4"/>
        <v>301191.22727965267</v>
      </c>
      <c r="L14" s="6">
        <f>MAX(K14-(Projet!$C$2-Projet!$C$14+SUM($G$4:G14)),0)*Projet!$C$29</f>
        <v>31540.020593581354</v>
      </c>
      <c r="M14" s="6">
        <f t="shared" si="5"/>
        <v>269651.20668607129</v>
      </c>
      <c r="N14" s="6">
        <f t="shared" si="6"/>
        <v>611485.04993398837</v>
      </c>
      <c r="O14" s="1">
        <f>Projet!$C$26*12*(1+Projet!$C$27)^(A14-1)</f>
        <v>21208.744807895131</v>
      </c>
      <c r="P14" s="1">
        <f>MAX(Projet!$C$3*12-O14,0)</f>
        <v>19591.255192104869</v>
      </c>
      <c r="Q14" s="1">
        <f t="shared" si="9"/>
        <v>587306.14015008684</v>
      </c>
      <c r="R14" s="1">
        <f>Q14*Projet!$C$28</f>
        <v>29365.307007504343</v>
      </c>
      <c r="S14" s="1">
        <f>Q14+R14</f>
        <v>616671.44715759123</v>
      </c>
      <c r="T14" s="1">
        <f>S14+P14</f>
        <v>636262.70234969608</v>
      </c>
      <c r="U14" s="1">
        <f>MAX(T14-(Projet!$C$2+SUM($P$4:P14)),0)*Projet!$C$29</f>
        <v>65797.421375390608</v>
      </c>
      <c r="V14" s="1">
        <f>T14-U14</f>
        <v>570465.28097430547</v>
      </c>
      <c r="W14" s="1">
        <f t="shared" si="7"/>
        <v>41019.7689596829</v>
      </c>
    </row>
    <row r="15" spans="1:23" x14ac:dyDescent="0.25">
      <c r="A15" s="5">
        <f>FLux_Achat_RP!A14</f>
        <v>12</v>
      </c>
      <c r="B15" s="6">
        <f>FLux_Achat_RP!I14</f>
        <v>368196.34307883319</v>
      </c>
      <c r="C15" s="6">
        <f t="shared" si="0"/>
        <v>368196.34307883319</v>
      </c>
      <c r="D15" s="6">
        <f>D14+FLux_Achat_RP!H14</f>
        <v>479724.36575655232</v>
      </c>
      <c r="E15" s="6">
        <f t="shared" si="1"/>
        <v>-111528.02267771913</v>
      </c>
      <c r="F15" t="str">
        <f t="shared" si="2"/>
        <v/>
      </c>
      <c r="G15" s="6">
        <f>MAX(Projet!$C$3*12-FLux_Achat_RP!H14,0)</f>
        <v>9130.3324210604478</v>
      </c>
      <c r="H15" s="6">
        <f t="shared" si="8"/>
        <v>301191.22727965267</v>
      </c>
      <c r="I15" s="6">
        <f>H15*Projet!$C$28</f>
        <v>15059.561363982633</v>
      </c>
      <c r="J15" s="6">
        <f t="shared" si="3"/>
        <v>316250.78864363529</v>
      </c>
      <c r="K15" s="6">
        <f t="shared" si="4"/>
        <v>325381.12106469576</v>
      </c>
      <c r="L15" s="6">
        <f>MAX(K15-(Projet!$C$2-Projet!$C$14+SUM($G$4:G15)),0)*Projet!$C$29</f>
        <v>36268.722861871895</v>
      </c>
      <c r="M15" s="6">
        <f t="shared" si="5"/>
        <v>289112.39820282388</v>
      </c>
      <c r="N15" s="6">
        <f t="shared" si="6"/>
        <v>657308.74128165701</v>
      </c>
      <c r="O15" s="1">
        <f>Projet!$C$26*12*(1+Projet!$C$27)^(A15-1)</f>
        <v>21420.832255974077</v>
      </c>
      <c r="P15" s="1">
        <f>MAX(Projet!$C$3*12-O15,0)</f>
        <v>19379.167744025923</v>
      </c>
      <c r="Q15" s="1">
        <f t="shared" si="9"/>
        <v>636262.70234969608</v>
      </c>
      <c r="R15" s="1">
        <f>Q15*Projet!$C$28</f>
        <v>31813.135117484806</v>
      </c>
      <c r="S15" s="1">
        <f>Q15+R15</f>
        <v>668075.83746718091</v>
      </c>
      <c r="T15" s="1">
        <f>S15+P15</f>
        <v>687455.00521120685</v>
      </c>
      <c r="U15" s="1">
        <f>MAX(T15-(Projet!$C$2+SUM($P$4:P15)),0)*Projet!$C$29</f>
        <v>75786.745802280857</v>
      </c>
      <c r="V15" s="1">
        <f>T15-U15</f>
        <v>611668.25940892601</v>
      </c>
      <c r="W15" s="1">
        <f t="shared" si="7"/>
        <v>45640.481872731005</v>
      </c>
    </row>
    <row r="16" spans="1:23" x14ac:dyDescent="0.25">
      <c r="A16" s="5">
        <f>FLux_Achat_RP!A15</f>
        <v>13</v>
      </c>
      <c r="B16" s="6">
        <f>FLux_Achat_RP!I15</f>
        <v>395353.85550016095</v>
      </c>
      <c r="C16" s="6">
        <f t="shared" si="0"/>
        <v>395353.85550016095</v>
      </c>
      <c r="D16" s="6">
        <f>D15+FLux_Achat_RP!H15</f>
        <v>511395.82213561703</v>
      </c>
      <c r="E16" s="6">
        <f t="shared" si="1"/>
        <v>-116041.96663545608</v>
      </c>
      <c r="F16" t="str">
        <f t="shared" si="2"/>
        <v/>
      </c>
      <c r="G16" s="6">
        <f>MAX(Projet!$C$3*12-FLux_Achat_RP!H15,0)</f>
        <v>9128.5436209352811</v>
      </c>
      <c r="H16" s="6">
        <f t="shared" si="8"/>
        <v>325381.12106469576</v>
      </c>
      <c r="I16" s="6">
        <f>H16*Projet!$C$28</f>
        <v>16269.056053234788</v>
      </c>
      <c r="J16" s="6">
        <f t="shared" si="3"/>
        <v>341650.17711793055</v>
      </c>
      <c r="K16" s="6">
        <f t="shared" si="4"/>
        <v>350778.72073886584</v>
      </c>
      <c r="L16" s="6">
        <f>MAX(K16-(Projet!$C$2-Projet!$C$14+SUM($G$4:G16)),0)*Projet!$C$29</f>
        <v>41377.20646258763</v>
      </c>
      <c r="M16" s="6">
        <f t="shared" si="5"/>
        <v>309401.51427627821</v>
      </c>
      <c r="N16" s="6">
        <f t="shared" si="6"/>
        <v>704755.36977643915</v>
      </c>
      <c r="O16" s="1">
        <f>Projet!$C$26*12*(1+Projet!$C$27)^(A16-1)</f>
        <v>21635.040578533819</v>
      </c>
      <c r="P16" s="1">
        <f>MAX(Projet!$C$3*12-O16,0)</f>
        <v>19164.959421466181</v>
      </c>
      <c r="Q16" s="1">
        <f t="shared" si="9"/>
        <v>687455.00521120685</v>
      </c>
      <c r="R16" s="1">
        <f>Q16*Projet!$C$28</f>
        <v>34372.750260560344</v>
      </c>
      <c r="S16" s="1">
        <f>Q16+R16</f>
        <v>721827.75547176716</v>
      </c>
      <c r="T16" s="1">
        <f>S16+P16</f>
        <v>740992.71489323338</v>
      </c>
      <c r="U16" s="1">
        <f>MAX(T16-(Projet!$C$2+SUM($P$4:P16)),0)*Projet!$C$29</f>
        <v>86579.789384096803</v>
      </c>
      <c r="V16" s="1">
        <f>T16-U16</f>
        <v>654412.92550913664</v>
      </c>
      <c r="W16" s="1">
        <f t="shared" si="7"/>
        <v>50342.444267302519</v>
      </c>
    </row>
    <row r="17" spans="1:28" x14ac:dyDescent="0.25">
      <c r="A17" s="5">
        <f>FLux_Achat_RP!A16</f>
        <v>14</v>
      </c>
      <c r="B17" s="6">
        <f>FLux_Achat_RP!I16</f>
        <v>423333.23047528917</v>
      </c>
      <c r="C17" s="6">
        <f t="shared" si="0"/>
        <v>423333.23047528917</v>
      </c>
      <c r="D17" s="6">
        <f>D16+FLux_Achat_RP!H16</f>
        <v>543068.2752097731</v>
      </c>
      <c r="E17" s="6">
        <f t="shared" si="1"/>
        <v>-119735.04473448393</v>
      </c>
      <c r="F17" t="str">
        <f t="shared" si="2"/>
        <v/>
      </c>
      <c r="G17" s="6">
        <f>MAX(Projet!$C$3*12-FLux_Achat_RP!H16,0)</f>
        <v>9127.5469258439189</v>
      </c>
      <c r="H17" s="6">
        <f t="shared" si="8"/>
        <v>350778.72073886584</v>
      </c>
      <c r="I17" s="6">
        <f>H17*Projet!$C$28</f>
        <v>17538.936036943294</v>
      </c>
      <c r="J17" s="6">
        <f t="shared" si="3"/>
        <v>368317.65677580913</v>
      </c>
      <c r="K17" s="6">
        <f t="shared" si="4"/>
        <v>377445.20370165305</v>
      </c>
      <c r="L17" s="6">
        <f>MAX(K17-(Projet!$C$2-Projet!$C$14+SUM($G$4:G17)),0)*Projet!$C$29</f>
        <v>46884.432378187819</v>
      </c>
      <c r="M17" s="6">
        <f t="shared" si="5"/>
        <v>330560.77132346522</v>
      </c>
      <c r="N17" s="6">
        <f t="shared" si="6"/>
        <v>753894.00179875433</v>
      </c>
      <c r="O17" s="1">
        <f>Projet!$C$26*12*(1+Projet!$C$27)^(A17-1)</f>
        <v>21851.390984319158</v>
      </c>
      <c r="P17" s="1">
        <f>MAX(Projet!$C$3*12-O17,0)</f>
        <v>18948.609015680842</v>
      </c>
      <c r="Q17" s="1">
        <f t="shared" si="9"/>
        <v>740992.71489323338</v>
      </c>
      <c r="R17" s="1">
        <f>Q17*Projet!$C$28</f>
        <v>37049.635744661668</v>
      </c>
      <c r="S17" s="1">
        <f>Q17+R17</f>
        <v>778042.35063789506</v>
      </c>
      <c r="T17" s="1">
        <f>S17+P17</f>
        <v>796990.9596535759</v>
      </c>
      <c r="U17" s="1">
        <f>MAX(T17-(Projet!$C$2+SUM($P$4:P17)),0)*Projet!$C$29</f>
        <v>98213.375007920578</v>
      </c>
      <c r="V17" s="1">
        <f>T17-U17</f>
        <v>698777.58464565536</v>
      </c>
      <c r="W17" s="1">
        <f t="shared" si="7"/>
        <v>55116.41715309897</v>
      </c>
    </row>
    <row r="18" spans="1:28" x14ac:dyDescent="0.25">
      <c r="A18" s="5">
        <f>FLux_Achat_RP!A17</f>
        <v>15</v>
      </c>
      <c r="B18" s="6">
        <f>FLux_Achat_RP!I17</f>
        <v>452162.25867687049</v>
      </c>
      <c r="C18" s="6">
        <f t="shared" si="0"/>
        <v>452162.25867687049</v>
      </c>
      <c r="D18" s="6">
        <f>D17+FLux_Achat_RP!H17</f>
        <v>574740.89614395227</v>
      </c>
      <c r="E18" s="6">
        <f t="shared" si="1"/>
        <v>-122578.63746708177</v>
      </c>
      <c r="F18" t="str">
        <f t="shared" si="2"/>
        <v/>
      </c>
      <c r="G18" s="6">
        <f>MAX(Projet!$C$3*12-FLux_Achat_RP!H17,0)</f>
        <v>9127.3790658208382</v>
      </c>
      <c r="H18" s="6">
        <f t="shared" si="8"/>
        <v>377445.20370165305</v>
      </c>
      <c r="I18" s="6">
        <f>H18*Projet!$C$28</f>
        <v>18872.260185082654</v>
      </c>
      <c r="J18" s="6">
        <f t="shared" si="3"/>
        <v>396317.46388673573</v>
      </c>
      <c r="K18" s="6">
        <f t="shared" si="4"/>
        <v>405444.84295255656</v>
      </c>
      <c r="L18" s="6">
        <f>MAX(K18-(Projet!$C$2-Projet!$C$14+SUM($G$4:G18)),0)*Projet!$C$29</f>
        <v>52810.322076303783</v>
      </c>
      <c r="M18" s="6">
        <f t="shared" si="5"/>
        <v>352634.52087625279</v>
      </c>
      <c r="N18" s="6">
        <f t="shared" si="6"/>
        <v>804796.77955312328</v>
      </c>
      <c r="O18" s="1">
        <f>Projet!$C$26*12*(1+Projet!$C$27)^(A18-1)</f>
        <v>22069.904894162351</v>
      </c>
      <c r="P18" s="1">
        <f>MAX(Projet!$C$3*12-O18,0)</f>
        <v>18730.095105837649</v>
      </c>
      <c r="Q18" s="1">
        <f t="shared" si="9"/>
        <v>796990.9596535759</v>
      </c>
      <c r="R18" s="1">
        <f>Q18*Projet!$C$28</f>
        <v>39849.5479826788</v>
      </c>
      <c r="S18" s="1">
        <f>Q18+R18</f>
        <v>836840.50763625465</v>
      </c>
      <c r="T18" s="1">
        <f>S18+P18</f>
        <v>855570.60274209233</v>
      </c>
      <c r="U18" s="1">
        <f>MAX(T18-(Projet!$C$2+SUM($P$4:P18)),0)*Projet!$C$29</f>
        <v>110726.13307448172</v>
      </c>
      <c r="V18" s="1">
        <f>T18-U18</f>
        <v>744844.4696676106</v>
      </c>
      <c r="W18" s="1">
        <f t="shared" si="7"/>
        <v>59952.309885512688</v>
      </c>
    </row>
    <row r="19" spans="1:28" x14ac:dyDescent="0.25">
      <c r="A19" s="5">
        <f>FLux_Achat_RP!A18</f>
        <v>16</v>
      </c>
      <c r="B19" s="6">
        <f>FLux_Achat_RP!I18</f>
        <v>481869.70480236353</v>
      </c>
      <c r="C19" s="6">
        <f t="shared" si="0"/>
        <v>481869.70480236353</v>
      </c>
      <c r="D19" s="6">
        <f>D18+FLux_Achat_RP!H18</f>
        <v>606412.81798110355</v>
      </c>
      <c r="E19" s="6">
        <f t="shared" si="1"/>
        <v>-124543.11317874002</v>
      </c>
      <c r="F19" t="str">
        <f t="shared" si="2"/>
        <v/>
      </c>
      <c r="G19" s="6">
        <f>MAX(Projet!$C$3*12-FLux_Achat_RP!H18,0)</f>
        <v>9128.0781628486911</v>
      </c>
      <c r="H19" s="6">
        <f t="shared" si="8"/>
        <v>405444.84295255656</v>
      </c>
      <c r="I19" s="6">
        <f>H19*Projet!$C$28</f>
        <v>20272.242147627829</v>
      </c>
      <c r="J19" s="6">
        <f t="shared" si="3"/>
        <v>425717.08510018437</v>
      </c>
      <c r="K19" s="6">
        <f t="shared" si="4"/>
        <v>434845.16326303309</v>
      </c>
      <c r="L19" s="6">
        <f>MAX(K19-(Projet!$C$2-Projet!$C$14+SUM($G$4:G19)),0)*Projet!$C$29</f>
        <v>59175.806110658923</v>
      </c>
      <c r="M19" s="6">
        <f t="shared" si="5"/>
        <v>375669.35715237417</v>
      </c>
      <c r="N19" s="6">
        <f t="shared" si="6"/>
        <v>857539.06195473764</v>
      </c>
      <c r="O19" s="1">
        <f>Projet!$C$26*12*(1+Projet!$C$27)^(A19-1)</f>
        <v>22290.603943103972</v>
      </c>
      <c r="P19" s="1">
        <f>MAX(Projet!$C$3*12-O19,0)</f>
        <v>18509.396056896028</v>
      </c>
      <c r="Q19" s="1">
        <f t="shared" si="9"/>
        <v>855570.60274209233</v>
      </c>
      <c r="R19" s="1">
        <f>Q19*Projet!$C$28</f>
        <v>42778.530137104623</v>
      </c>
      <c r="S19" s="1">
        <f>Q19+R19</f>
        <v>898349.1328791969</v>
      </c>
      <c r="T19" s="1">
        <f>S19+P19</f>
        <v>916858.52893609297</v>
      </c>
      <c r="U19" s="1">
        <f>MAX(T19-(Projet!$C$2+SUM($P$4:P19)),0)*Projet!$C$29</f>
        <v>124158.59153753257</v>
      </c>
      <c r="V19" s="1">
        <f>T19-U19</f>
        <v>792699.93739856035</v>
      </c>
      <c r="W19" s="1">
        <f t="shared" si="7"/>
        <v>64839.124556177296</v>
      </c>
    </row>
    <row r="20" spans="1:28" x14ac:dyDescent="0.25">
      <c r="A20" s="5">
        <f>FLux_Achat_RP!A19</f>
        <v>17</v>
      </c>
      <c r="B20" s="6">
        <f>FLux_Achat_RP!I19</f>
        <v>512485.34207307844</v>
      </c>
      <c r="C20" s="6">
        <f t="shared" si="0"/>
        <v>512485.34207307844</v>
      </c>
      <c r="D20" s="6">
        <f>D19+FLux_Achat_RP!H19</f>
        <v>638083.13419988228</v>
      </c>
      <c r="E20" s="6">
        <f t="shared" si="1"/>
        <v>-125597.79212680383</v>
      </c>
      <c r="F20" t="str">
        <f t="shared" si="2"/>
        <v/>
      </c>
      <c r="G20" s="6">
        <f>MAX(Projet!$C$3*12-FLux_Achat_RP!H19,0)</f>
        <v>9129.6837812213162</v>
      </c>
      <c r="H20" s="6">
        <f t="shared" si="8"/>
        <v>434845.16326303309</v>
      </c>
      <c r="I20" s="6">
        <f>H20*Projet!$C$28</f>
        <v>21742.258163151655</v>
      </c>
      <c r="J20" s="6">
        <f t="shared" si="3"/>
        <v>456587.42142618477</v>
      </c>
      <c r="K20" s="6">
        <f t="shared" si="4"/>
        <v>465717.1052074061</v>
      </c>
      <c r="L20" s="6">
        <f>MAX(K20-(Projet!$C$2-Projet!$C$14+SUM($G$4:G20)),0)*Projet!$C$29</f>
        <v>66002.875173888562</v>
      </c>
      <c r="M20" s="6">
        <f t="shared" si="5"/>
        <v>399714.23003351752</v>
      </c>
      <c r="N20" s="6">
        <f t="shared" si="6"/>
        <v>912199.57210659597</v>
      </c>
      <c r="O20" s="1">
        <f>Projet!$C$26*12*(1+Projet!$C$27)^(A20-1)</f>
        <v>22513.509982535015</v>
      </c>
      <c r="P20" s="1">
        <f>MAX(Projet!$C$3*12-O20,0)</f>
        <v>18286.490017464985</v>
      </c>
      <c r="Q20" s="1">
        <f t="shared" si="9"/>
        <v>916858.52893609297</v>
      </c>
      <c r="R20" s="1">
        <f>Q20*Projet!$C$28</f>
        <v>45842.926446804653</v>
      </c>
      <c r="S20" s="1">
        <f>Q20+R20</f>
        <v>962701.45538289763</v>
      </c>
      <c r="T20" s="1">
        <f>S20+P20</f>
        <v>980987.9454003626</v>
      </c>
      <c r="U20" s="1">
        <f>MAX(T20-(Projet!$C$2+SUM($P$4:P20)),0)*Projet!$C$29</f>
        <v>138553.27044182923</v>
      </c>
      <c r="V20" s="1">
        <f>T20-U20</f>
        <v>842434.67495853337</v>
      </c>
      <c r="W20" s="1">
        <f t="shared" si="7"/>
        <v>69764.897148062591</v>
      </c>
    </row>
    <row r="21" spans="1:28" x14ac:dyDescent="0.25">
      <c r="A21" s="5">
        <f>FLux_Achat_RP!A20</f>
        <v>18</v>
      </c>
      <c r="B21" s="6">
        <f>FLux_Achat_RP!I20</f>
        <v>544039.98795881053</v>
      </c>
      <c r="C21" s="6">
        <f t="shared" si="0"/>
        <v>544039.98795881053</v>
      </c>
      <c r="D21" s="6">
        <f>D20+FLux_Achat_RP!H20</f>
        <v>669750.8972201756</v>
      </c>
      <c r="E21" s="6">
        <f t="shared" si="1"/>
        <v>-125710.90926136507</v>
      </c>
      <c r="F21" t="str">
        <f t="shared" si="2"/>
        <v/>
      </c>
      <c r="G21" s="6">
        <f>MAX(Projet!$C$3*12-FLux_Achat_RP!H20,0)</f>
        <v>9132.2369797066531</v>
      </c>
      <c r="H21" s="6">
        <f t="shared" si="8"/>
        <v>465717.1052074061</v>
      </c>
      <c r="I21" s="6">
        <f>H21*Projet!$C$28</f>
        <v>23285.855260370306</v>
      </c>
      <c r="J21" s="6">
        <f t="shared" si="3"/>
        <v>489002.9604677764</v>
      </c>
      <c r="K21" s="6">
        <f t="shared" si="4"/>
        <v>498135.19744748308</v>
      </c>
      <c r="L21" s="6">
        <f>MAX(K21-(Projet!$C$2-Projet!$C$14+SUM($G$4:G21)),0)*Projet!$C$29</f>
        <v>73314.633725644846</v>
      </c>
      <c r="M21" s="6">
        <f t="shared" si="5"/>
        <v>424820.56372183823</v>
      </c>
      <c r="N21" s="6">
        <f t="shared" si="6"/>
        <v>968860.5516806487</v>
      </c>
      <c r="O21" s="1">
        <f>Projet!$C$26*12*(1+Projet!$C$27)^(A21-1)</f>
        <v>22738.645082360366</v>
      </c>
      <c r="P21" s="1">
        <f>MAX(Projet!$C$3*12-O21,0)</f>
        <v>18061.354917639634</v>
      </c>
      <c r="Q21" s="1">
        <f t="shared" si="9"/>
        <v>980987.9454003626</v>
      </c>
      <c r="R21" s="1">
        <f>Q21*Projet!$C$28</f>
        <v>49049.397270018133</v>
      </c>
      <c r="S21" s="1">
        <f>Q21+R21</f>
        <v>1030037.3426703807</v>
      </c>
      <c r="T21" s="1">
        <f>S21+P21</f>
        <v>1048098.6975880204</v>
      </c>
      <c r="U21" s="1">
        <f>MAX(T21-(Projet!$C$2+SUM($P$4:P21)),0)*Projet!$C$29</f>
        <v>153954.7811846149</v>
      </c>
      <c r="V21" s="1">
        <f>T21-U21</f>
        <v>894143.91640340548</v>
      </c>
      <c r="W21" s="1">
        <f t="shared" si="7"/>
        <v>74716.635277243215</v>
      </c>
    </row>
    <row r="22" spans="1:28" x14ac:dyDescent="0.25">
      <c r="A22" s="5">
        <f>FLux_Achat_RP!A21</f>
        <v>19</v>
      </c>
      <c r="B22" s="6">
        <f>FLux_Achat_RP!I21</f>
        <v>576565.5411716341</v>
      </c>
      <c r="C22" s="6">
        <f t="shared" si="0"/>
        <v>576565.5411716341</v>
      </c>
      <c r="D22" s="6">
        <f>D21+FLux_Achat_RP!H21</f>
        <v>701415.11685460201</v>
      </c>
      <c r="E22" s="6">
        <f t="shared" si="1"/>
        <v>-124849.5756829679</v>
      </c>
      <c r="F22" t="str">
        <f t="shared" si="2"/>
        <v/>
      </c>
      <c r="G22" s="6">
        <f>MAX(Projet!$C$3*12-FLux_Achat_RP!H21,0)</f>
        <v>9135.7803655735806</v>
      </c>
      <c r="H22" s="6">
        <f t="shared" si="8"/>
        <v>498135.19744748308</v>
      </c>
      <c r="I22" s="6">
        <f>H22*Projet!$C$28</f>
        <v>24906.759872374154</v>
      </c>
      <c r="J22" s="6">
        <f t="shared" si="3"/>
        <v>523041.9573198572</v>
      </c>
      <c r="K22" s="6">
        <f t="shared" si="4"/>
        <v>532177.73768543079</v>
      </c>
      <c r="L22" s="6">
        <f>MAX(K22-(Projet!$C$2-Projet!$C$14+SUM($G$4:G22)),0)*Projet!$C$29</f>
        <v>81135.356325570319</v>
      </c>
      <c r="M22" s="6">
        <f t="shared" si="5"/>
        <v>451042.38135986048</v>
      </c>
      <c r="N22" s="6">
        <f t="shared" si="6"/>
        <v>1027607.9225314946</v>
      </c>
      <c r="O22" s="1">
        <f>Projet!$C$26*12*(1+Projet!$C$27)^(A22-1)</f>
        <v>22966.031533183974</v>
      </c>
      <c r="P22" s="1">
        <f>MAX(Projet!$C$3*12-O22,0)</f>
        <v>17833.968466816026</v>
      </c>
      <c r="Q22" s="1">
        <f t="shared" si="9"/>
        <v>1048098.6975880204</v>
      </c>
      <c r="R22" s="1">
        <f>Q22*Projet!$C$28</f>
        <v>52404.934879401022</v>
      </c>
      <c r="S22" s="1">
        <f>Q22+R22</f>
        <v>1100503.6324674215</v>
      </c>
      <c r="T22" s="1">
        <f>S22+P22</f>
        <v>1118337.6009342375</v>
      </c>
      <c r="U22" s="1">
        <f>MAX(T22-(Projet!$C$2+SUM($P$4:P22)),0)*Projet!$C$29</f>
        <v>170409.93073674684</v>
      </c>
      <c r="V22" s="1">
        <f>T22-U22</f>
        <v>947927.6701974906</v>
      </c>
      <c r="W22" s="1">
        <f t="shared" si="7"/>
        <v>79680.252334004035</v>
      </c>
    </row>
    <row r="23" spans="1:28" x14ac:dyDescent="0.25">
      <c r="A23" s="5">
        <f>FLux_Achat_RP!A22</f>
        <v>20</v>
      </c>
      <c r="B23" s="6">
        <f>FLux_Achat_RP!I22</f>
        <v>610095.01997398341</v>
      </c>
      <c r="C23" s="6">
        <f t="shared" si="0"/>
        <v>610095.01997398341</v>
      </c>
      <c r="D23" s="6">
        <f>D22+FLux_Achat_RP!H22</f>
        <v>733074.75870405301</v>
      </c>
      <c r="E23" s="6">
        <f t="shared" si="1"/>
        <v>-122979.7387300696</v>
      </c>
      <c r="F23" t="str">
        <f t="shared" si="2"/>
        <v/>
      </c>
      <c r="G23" s="6">
        <f>MAX(Projet!$C$3*12-FLux_Achat_RP!H22,0)</f>
        <v>9140.3581505490401</v>
      </c>
      <c r="H23" s="6">
        <f t="shared" si="8"/>
        <v>532177.73768543079</v>
      </c>
      <c r="I23" s="6">
        <f>H23*Projet!$C$28</f>
        <v>26608.886884271542</v>
      </c>
      <c r="J23" s="6">
        <f t="shared" si="3"/>
        <v>558786.62456970231</v>
      </c>
      <c r="K23" s="6">
        <f t="shared" si="4"/>
        <v>567926.98272025131</v>
      </c>
      <c r="L23" s="6">
        <f>MAX(K23-(Projet!$C$2-Projet!$C$14+SUM($G$4:G23)),0)*Projet!$C$29</f>
        <v>89490.546807231556</v>
      </c>
      <c r="M23" s="6">
        <f t="shared" si="5"/>
        <v>478436.43591301976</v>
      </c>
      <c r="N23" s="6">
        <f t="shared" si="6"/>
        <v>1088531.4558870031</v>
      </c>
      <c r="O23" s="1">
        <f>Projet!$C$26*12*(1+Projet!$C$27)^(A23-1)</f>
        <v>23195.691848515806</v>
      </c>
      <c r="P23" s="1">
        <f>MAX(Projet!$C$3*12-O23,0)</f>
        <v>17604.308151484194</v>
      </c>
      <c r="Q23" s="1">
        <f t="shared" si="9"/>
        <v>1118337.6009342375</v>
      </c>
      <c r="R23" s="1">
        <f>Q23*Projet!$C$28</f>
        <v>55916.880046711878</v>
      </c>
      <c r="S23" s="1">
        <f>Q23+R23</f>
        <v>1174254.4809809492</v>
      </c>
      <c r="T23" s="1">
        <f>S23+P23</f>
        <v>1191858.7891324335</v>
      </c>
      <c r="U23" s="1">
        <f>MAX(T23-(Projet!$C$2+SUM($P$4:P23)),0)*Projet!$C$29</f>
        <v>187967.83107141437</v>
      </c>
      <c r="V23" s="1">
        <f>T23-U23</f>
        <v>1003890.9580610191</v>
      </c>
      <c r="W23" s="1">
        <f t="shared" si="7"/>
        <v>84640.497825984028</v>
      </c>
    </row>
    <row r="24" spans="1:28" x14ac:dyDescent="0.25">
      <c r="A24" s="5">
        <f>FLux_Achat_RP!A23</f>
        <v>21</v>
      </c>
      <c r="B24" s="6">
        <f>FLux_Achat_RP!I23</f>
        <v>616195.97017372318</v>
      </c>
      <c r="C24" s="6">
        <f t="shared" si="0"/>
        <v>616195.97017372318</v>
      </c>
      <c r="D24" s="6">
        <f>D23+FLux_Achat_RP!H23</f>
        <v>736735.32882389694</v>
      </c>
      <c r="E24" s="6">
        <f t="shared" si="1"/>
        <v>-120539.35865017376</v>
      </c>
      <c r="F24" t="str">
        <f t="shared" si="2"/>
        <v/>
      </c>
      <c r="G24" s="6">
        <f>MAX(Projet!$C$3*12-FLux_Achat_RP!H23,0)</f>
        <v>37139.429880156094</v>
      </c>
      <c r="H24" s="6">
        <f t="shared" si="8"/>
        <v>567926.98272025131</v>
      </c>
      <c r="I24" s="6">
        <f>H24*Projet!$C$28</f>
        <v>28396.349136012566</v>
      </c>
      <c r="J24" s="6">
        <f t="shared" si="3"/>
        <v>596323.33185626392</v>
      </c>
      <c r="K24" s="6">
        <f t="shared" si="4"/>
        <v>633462.76173641998</v>
      </c>
      <c r="L24" s="6">
        <f>MAX(K24-(Projet!$C$2-Projet!$C$14+SUM($G$4:G24)),0)*Projet!$C$29</f>
        <v>98407.00043593951</v>
      </c>
      <c r="M24" s="6">
        <f t="shared" si="5"/>
        <v>535055.76130048046</v>
      </c>
      <c r="N24" s="6">
        <f t="shared" si="6"/>
        <v>1151251.7314742035</v>
      </c>
      <c r="O24" s="1">
        <f>Projet!$C$26*12*(1+Projet!$C$27)^(A24-1)</f>
        <v>23427.648767000966</v>
      </c>
      <c r="P24" s="1">
        <f>MAX(Projet!$C$3*12-O24,0)</f>
        <v>17372.351232999034</v>
      </c>
      <c r="Q24" s="1">
        <f t="shared" si="9"/>
        <v>1191858.7891324335</v>
      </c>
      <c r="R24" s="1">
        <f>Q24*Projet!$C$28</f>
        <v>59592.93945662168</v>
      </c>
      <c r="S24" s="1">
        <f>Q24+R24</f>
        <v>1251451.7285890551</v>
      </c>
      <c r="T24" s="1">
        <f>S24+P24</f>
        <v>1268824.0798220541</v>
      </c>
      <c r="U24" s="1">
        <f>MAX(T24-(Projet!$C$2+SUM($P$4:P24)),0)*Projet!$C$29</f>
        <v>206680.01406079359</v>
      </c>
      <c r="V24" s="1">
        <f>T24-U24</f>
        <v>1062144.0657612605</v>
      </c>
      <c r="W24" s="1">
        <f t="shared" si="7"/>
        <v>89107.665712943068</v>
      </c>
    </row>
    <row r="25" spans="1:28" x14ac:dyDescent="0.25">
      <c r="A25" s="5">
        <f>FLux_Achat_RP!A24</f>
        <v>22</v>
      </c>
      <c r="B25" s="6">
        <f>FLux_Achat_RP!I24</f>
        <v>622357.92987546057</v>
      </c>
      <c r="C25" s="6">
        <f t="shared" si="0"/>
        <v>622357.92987546057</v>
      </c>
      <c r="D25" s="6">
        <f>D24+FLux_Achat_RP!H24</f>
        <v>740432.50464493933</v>
      </c>
      <c r="E25" s="6">
        <f t="shared" si="1"/>
        <v>-118074.57476947876</v>
      </c>
      <c r="F25" t="str">
        <f t="shared" si="2"/>
        <v/>
      </c>
      <c r="G25" s="6">
        <f>MAX(Projet!$C$3*12-FLux_Achat_RP!H24,0)</f>
        <v>37102.824178957657</v>
      </c>
      <c r="H25" s="6">
        <f t="shared" si="8"/>
        <v>633462.76173641998</v>
      </c>
      <c r="I25" s="6">
        <f>H25*Projet!$C$28</f>
        <v>31673.138086821</v>
      </c>
      <c r="J25" s="6">
        <f t="shared" si="3"/>
        <v>665135.89982324094</v>
      </c>
      <c r="K25" s="6">
        <f t="shared" si="4"/>
        <v>702238.72400219855</v>
      </c>
      <c r="L25" s="6">
        <f>MAX(K25-(Projet!$C$2-Projet!$C$14+SUM($G$4:G25)),0)*Projet!$C$29</f>
        <v>108352.36579520127</v>
      </c>
      <c r="M25" s="6">
        <f t="shared" si="5"/>
        <v>593886.35820699728</v>
      </c>
      <c r="N25" s="6">
        <f t="shared" si="6"/>
        <v>1216244.2880824578</v>
      </c>
      <c r="O25" s="1">
        <f>Projet!$C$26*12*(1+Projet!$C$27)^(A25-1)</f>
        <v>23661.925254670976</v>
      </c>
      <c r="P25" s="1">
        <f>MAX(Projet!$C$3*12-O25,0)</f>
        <v>17138.074745329024</v>
      </c>
      <c r="Q25" s="1">
        <f t="shared" si="9"/>
        <v>1268824.0798220541</v>
      </c>
      <c r="R25" s="1">
        <f>Q25*Projet!$C$28</f>
        <v>63441.20399110271</v>
      </c>
      <c r="S25" s="1">
        <f>Q25+R25</f>
        <v>1332265.2838131569</v>
      </c>
      <c r="T25" s="1">
        <f>S25+P25</f>
        <v>1349403.358558486</v>
      </c>
      <c r="U25" s="1">
        <f>MAX(T25-(Projet!$C$2+SUM($P$4:P25)),0)*Projet!$C$29</f>
        <v>226600.55211399987</v>
      </c>
      <c r="V25" s="1">
        <f>T25-U25</f>
        <v>1122802.8064444861</v>
      </c>
      <c r="W25" s="1">
        <f t="shared" si="7"/>
        <v>93441.481637971709</v>
      </c>
    </row>
    <row r="26" spans="1:28" x14ac:dyDescent="0.25">
      <c r="A26" s="5">
        <f>FLux_Achat_RP!A25</f>
        <v>23</v>
      </c>
      <c r="B26" s="6">
        <f>FLux_Achat_RP!I25</f>
        <v>628581.50917421503</v>
      </c>
      <c r="C26" s="6">
        <f t="shared" si="0"/>
        <v>628581.50917421503</v>
      </c>
      <c r="D26" s="6">
        <f>D25+FLux_Achat_RP!H25</f>
        <v>744166.65222419205</v>
      </c>
      <c r="E26" s="6">
        <f t="shared" si="1"/>
        <v>-115585.14304997702</v>
      </c>
      <c r="F26" t="str">
        <f t="shared" si="2"/>
        <v/>
      </c>
      <c r="G26" s="6">
        <f>MAX(Projet!$C$3*12-FLux_Achat_RP!H25,0)</f>
        <v>37065.852420747236</v>
      </c>
      <c r="H26" s="6">
        <f t="shared" si="8"/>
        <v>702238.72400219855</v>
      </c>
      <c r="I26" s="6">
        <f>H26*Projet!$C$28</f>
        <v>35111.936200109929</v>
      </c>
      <c r="J26" s="6">
        <f t="shared" si="3"/>
        <v>737350.66020230844</v>
      </c>
      <c r="K26" s="6">
        <f t="shared" si="4"/>
        <v>774416.51262305572</v>
      </c>
      <c r="L26" s="6">
        <f>MAX(K26-(Projet!$C$2-Projet!$C$14+SUM($G$4:G26)),0)*Projet!$C$29</f>
        <v>119377.5137620358</v>
      </c>
      <c r="M26" s="6">
        <f t="shared" si="5"/>
        <v>655038.99886101997</v>
      </c>
      <c r="N26" s="6">
        <f t="shared" si="6"/>
        <v>1283620.5080352351</v>
      </c>
      <c r="O26" s="1">
        <f>Projet!$C$26*12*(1+Projet!$C$27)^(A26-1)</f>
        <v>23898.544507217692</v>
      </c>
      <c r="P26" s="1">
        <f>MAX(Projet!$C$3*12-O26,0)</f>
        <v>16901.455492782308</v>
      </c>
      <c r="Q26" s="1">
        <f t="shared" si="9"/>
        <v>1349403.358558486</v>
      </c>
      <c r="R26" s="1">
        <f>Q26*Projet!$C$28</f>
        <v>67470.167927924296</v>
      </c>
      <c r="S26" s="1">
        <f>Q26+R26</f>
        <v>1416873.5264864103</v>
      </c>
      <c r="T26" s="1">
        <f>S26+P26</f>
        <v>1433774.9819791927</v>
      </c>
      <c r="U26" s="1">
        <f>MAX(T26-(Projet!$C$2+SUM($P$4:P26)),0)*Projet!$C$29</f>
        <v>247786.18484336813</v>
      </c>
      <c r="V26" s="1">
        <f>T26-U26</f>
        <v>1185988.7971358246</v>
      </c>
      <c r="W26" s="1">
        <f t="shared" si="7"/>
        <v>97631.710899410537</v>
      </c>
    </row>
    <row r="27" spans="1:28" x14ac:dyDescent="0.25">
      <c r="A27" s="5">
        <f>FLux_Achat_RP!A26</f>
        <v>24</v>
      </c>
      <c r="B27" s="6">
        <f>FLux_Achat_RP!I26</f>
        <v>634867.32426595734</v>
      </c>
      <c r="C27" s="6">
        <f t="shared" si="0"/>
        <v>634867.32426595734</v>
      </c>
      <c r="D27" s="6">
        <f>D26+FLux_Achat_RP!H26</f>
        <v>747938.14127923734</v>
      </c>
      <c r="E27" s="6">
        <f t="shared" si="1"/>
        <v>-113070.81701328</v>
      </c>
      <c r="F27" t="str">
        <f t="shared" si="2"/>
        <v/>
      </c>
      <c r="G27" s="6">
        <f>MAX(Projet!$C$3*12-FLux_Achat_RP!H26,0)</f>
        <v>37028.510944954709</v>
      </c>
      <c r="H27" s="6">
        <f t="shared" si="8"/>
        <v>774416.51262305572</v>
      </c>
      <c r="I27" s="6">
        <f>H27*Projet!$C$28</f>
        <v>38720.825631152788</v>
      </c>
      <c r="J27" s="6">
        <f t="shared" si="3"/>
        <v>813137.33825420856</v>
      </c>
      <c r="K27" s="6">
        <f t="shared" si="4"/>
        <v>850165.84919916326</v>
      </c>
      <c r="L27" s="6">
        <f>MAX(K27-(Projet!$C$2-Projet!$C$14+SUM($G$4:G27)),0)*Projet!$C$29</f>
        <v>131535.8530102178</v>
      </c>
      <c r="M27" s="6">
        <f t="shared" si="5"/>
        <v>718629.99618894549</v>
      </c>
      <c r="N27" s="6">
        <f t="shared" si="6"/>
        <v>1353497.3204549029</v>
      </c>
      <c r="O27" s="1">
        <f>Projet!$C$26*12*(1+Projet!$C$27)^(A27-1)</f>
        <v>24137.529952289864</v>
      </c>
      <c r="P27" s="1">
        <f>MAX(Projet!$C$3*12-O27,0)</f>
        <v>16662.470047710136</v>
      </c>
      <c r="Q27" s="1">
        <f t="shared" si="9"/>
        <v>1433774.9819791927</v>
      </c>
      <c r="R27" s="1">
        <f>Q27*Projet!$C$28</f>
        <v>71688.749098959641</v>
      </c>
      <c r="S27" s="1">
        <f>Q27+R27</f>
        <v>1505463.7310781523</v>
      </c>
      <c r="T27" s="1">
        <f>S27+P27</f>
        <v>1522126.2011258625</v>
      </c>
      <c r="U27" s="1">
        <f>MAX(T27-(Projet!$C$2+SUM($P$4:P27)),0)*Projet!$C$29</f>
        <v>270296.45206044149</v>
      </c>
      <c r="V27" s="1">
        <f>T27-U27</f>
        <v>1251829.7490654211</v>
      </c>
      <c r="W27" s="1">
        <f t="shared" si="7"/>
        <v>101667.57138948189</v>
      </c>
    </row>
    <row r="28" spans="1:28" x14ac:dyDescent="0.25">
      <c r="A28" s="5">
        <f>FLux_Achat_RP!A27</f>
        <v>25</v>
      </c>
      <c r="B28" s="6">
        <f>FLux_Achat_RP!I27</f>
        <v>641215.997508617</v>
      </c>
      <c r="C28" s="6">
        <f t="shared" si="0"/>
        <v>641215.997508617</v>
      </c>
      <c r="D28" s="6">
        <f>D27+FLux_Achat_RP!H27</f>
        <v>751747.34522483312</v>
      </c>
      <c r="E28" s="6">
        <f t="shared" si="1"/>
        <v>-110531.34771621611</v>
      </c>
      <c r="F28" t="str">
        <f t="shared" si="2"/>
        <v/>
      </c>
      <c r="G28" s="6">
        <f>MAX(Projet!$C$3*12-FLux_Achat_RP!H27,0)</f>
        <v>36990.796054404251</v>
      </c>
      <c r="H28" s="6">
        <f t="shared" si="8"/>
        <v>850165.84919916326</v>
      </c>
      <c r="I28" s="6">
        <f>H28*Projet!$C$28</f>
        <v>42508.292459958167</v>
      </c>
      <c r="J28" s="6">
        <f t="shared" si="3"/>
        <v>892674.14165912138</v>
      </c>
      <c r="K28" s="6">
        <f t="shared" si="4"/>
        <v>929664.93771352561</v>
      </c>
      <c r="L28" s="6">
        <f>MAX(K28-(Projet!$C$2-Projet!$C$14+SUM($G$4:G28)),0)*Projet!$C$29</f>
        <v>144883.45684264463</v>
      </c>
      <c r="M28" s="6">
        <f t="shared" si="5"/>
        <v>784781.480870881</v>
      </c>
      <c r="N28" s="6">
        <f t="shared" si="6"/>
        <v>1425997.478379498</v>
      </c>
      <c r="O28" s="1">
        <f>Projet!$C$26*12*(1+Projet!$C$27)^(A28-1)</f>
        <v>24378.905251812768</v>
      </c>
      <c r="P28" s="1">
        <f>MAX(Projet!$C$3*12-O28,0)</f>
        <v>16421.094748187232</v>
      </c>
      <c r="Q28" s="1">
        <f t="shared" si="9"/>
        <v>1522126.2011258625</v>
      </c>
      <c r="R28" s="1">
        <f>Q28*Projet!$C$28</f>
        <v>76106.310056293136</v>
      </c>
      <c r="S28" s="1">
        <f>Q28+R28</f>
        <v>1598232.5111821557</v>
      </c>
      <c r="T28" s="1">
        <f>S28+P28</f>
        <v>1614653.605930343</v>
      </c>
      <c r="U28" s="1">
        <f>MAX(T28-(Projet!$C$2+SUM($P$4:P28)),0)*Projet!$C$29</f>
        <v>294193.83341811755</v>
      </c>
      <c r="V28" s="1">
        <f>T28-U28</f>
        <v>1320459.7725122254</v>
      </c>
      <c r="W28" s="1">
        <f t="shared" si="7"/>
        <v>105537.70586727257</v>
      </c>
    </row>
    <row r="29" spans="1:28" x14ac:dyDescent="0.25">
      <c r="X29" s="1"/>
      <c r="Y29" s="1"/>
      <c r="Z29" s="1"/>
      <c r="AA29" s="1"/>
      <c r="AB29" s="1"/>
    </row>
  </sheetData>
  <mergeCells count="2">
    <mergeCell ref="P2:T2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Projet</vt:lpstr>
      <vt:lpstr>Amortissement_prêt</vt:lpstr>
      <vt:lpstr>Amortissement_annuel_prêt</vt:lpstr>
      <vt:lpstr>FLux_Achat_RP</vt:lpstr>
      <vt:lpstr>Bilan_Revente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Collet</dc:creator>
  <cp:lastModifiedBy>Lucas Collet</cp:lastModifiedBy>
  <dcterms:created xsi:type="dcterms:W3CDTF">2026-09-03T13:05:00Z</dcterms:created>
  <dcterms:modified xsi:type="dcterms:W3CDTF">2026-09-04T12:39:10Z</dcterms:modified>
</cp:coreProperties>
</file>